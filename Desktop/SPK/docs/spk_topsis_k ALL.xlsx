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riteria &amp; sub" sheetId="1" r:id="rId5"/>
    <sheet state="visible" name="data clean" sheetId="2" r:id="rId6"/>
    <sheet state="visible" name="data raw" sheetId="3" r:id="rId7"/>
    <sheet state="visible" name="Copy of cakaran" sheetId="4" r:id="rId8"/>
    <sheet state="visible" name="trial_k" sheetId="5" r:id="rId9"/>
    <sheet state="visible" name="cakaran" sheetId="6" r:id="rId10"/>
    <sheet state="visible" name="utk depit belajar" sheetId="7" r:id="rId11"/>
    <sheet state="hidden" name="Data Inventaris Radio Hytera" sheetId="8" r:id="rId12"/>
  </sheets>
  <definedNames/>
  <calcPr/>
</workbook>
</file>

<file path=xl/sharedStrings.xml><?xml version="1.0" encoding="utf-8"?>
<sst xmlns="http://schemas.openxmlformats.org/spreadsheetml/2006/main" count="1193" uniqueCount="1004">
  <si>
    <t>Karbohidrat</t>
  </si>
  <si>
    <t>Lemak</t>
  </si>
  <si>
    <t>Protein</t>
  </si>
  <si>
    <t>Serat</t>
  </si>
  <si>
    <t>Natrium</t>
  </si>
  <si>
    <t>W=2</t>
  </si>
  <si>
    <t>W=3</t>
  </si>
  <si>
    <t>W=4</t>
  </si>
  <si>
    <t>W=5</t>
  </si>
  <si>
    <t>W=10%</t>
  </si>
  <si>
    <t>W=15%</t>
  </si>
  <si>
    <t>W=20%</t>
  </si>
  <si>
    <t>W=25%</t>
  </si>
  <si>
    <t>W=30%</t>
  </si>
  <si>
    <t>Rentang Penilaian/100gr</t>
  </si>
  <si>
    <t>Rangking</t>
  </si>
  <si>
    <t>0-1</t>
  </si>
  <si>
    <t>&gt;500</t>
  </si>
  <si>
    <t>1 - 25</t>
  </si>
  <si>
    <t>1 - 3</t>
  </si>
  <si>
    <t>350-500</t>
  </si>
  <si>
    <t>25-30</t>
  </si>
  <si>
    <t>3 - 5</t>
  </si>
  <si>
    <t>200-350</t>
  </si>
  <si>
    <t>55-75</t>
  </si>
  <si>
    <t>5 - 7</t>
  </si>
  <si>
    <t>100-200</t>
  </si>
  <si>
    <t>75-100</t>
  </si>
  <si>
    <t>&gt;7</t>
  </si>
  <si>
    <t>0-100</t>
  </si>
  <si>
    <t>ALT</t>
  </si>
  <si>
    <t>C1</t>
  </si>
  <si>
    <t>C2</t>
  </si>
  <si>
    <t>C3</t>
  </si>
  <si>
    <t>C4</t>
  </si>
  <si>
    <t>C5</t>
  </si>
  <si>
    <t>Nama Bahan Makanan</t>
  </si>
  <si>
    <r>
      <rPr>
        <rFont val="sans-serif"/>
        <b/>
        <color rgb="FF000000"/>
      </rPr>
      <t>Natrium</t>
    </r>
    <r>
      <rPr>
        <rFont val="sans-serif"/>
        <b/>
        <color theme="1"/>
      </rPr>
      <t xml:space="preserve">
(Na</t>
    </r>
    <r>
      <rPr>
        <rFont val="sans-serif"/>
        <b/>
        <color theme="1"/>
      </rPr>
      <t xml:space="preserve">)  </t>
    </r>
    <r>
      <rPr>
        <rFont val="sans-serif"/>
        <b/>
        <color rgb="FF000000"/>
      </rPr>
      <t>⇲</t>
    </r>
  </si>
  <si>
    <t>(g)</t>
  </si>
  <si>
    <t>(mg)</t>
  </si>
  <si>
    <r>
      <rPr>
        <rFont val="sans-serif"/>
        <b/>
        <color rgb="FF000000"/>
      </rPr>
      <t>Nas</t>
    </r>
    <r>
      <rPr>
        <rFont val="sans-serif"/>
        <color rgb="FF000000"/>
      </rPr>
      <t>i</t>
    </r>
  </si>
  <si>
    <r>
      <rPr>
        <rFont val="sans-serif"/>
        <b/>
        <color rgb="FF000000"/>
      </rPr>
      <t>Biskui</t>
    </r>
    <r>
      <rPr>
        <rFont val="sans-serif"/>
        <color rgb="FF000000"/>
      </rPr>
      <t>t</t>
    </r>
  </si>
  <si>
    <r>
      <rPr>
        <rFont val="sans-serif"/>
        <b/>
        <color rgb="FF000000"/>
        <u/>
      </rPr>
      <t>Bubur tinotuan (Manado)</t>
    </r>
  </si>
  <si>
    <r>
      <rPr>
        <rFont val="sans-serif"/>
        <b/>
        <color rgb="FF000000"/>
      </rPr>
      <t>Mie baks</t>
    </r>
    <r>
      <rPr>
        <rFont val="sans-serif"/>
        <color rgb="FF000000"/>
      </rPr>
      <t>o</t>
    </r>
  </si>
  <si>
    <r>
      <rPr>
        <rFont val="sans-serif"/>
        <b/>
        <color rgb="FF000000"/>
        <u/>
      </rPr>
      <t>Beras giling, mentah</t>
    </r>
  </si>
  <si>
    <r>
      <rPr>
        <rFont val="sans-serif"/>
        <b/>
        <color rgb="FF000000"/>
      </rPr>
      <t>Beras jagung kuning, kering, menta</t>
    </r>
    <r>
      <rPr>
        <rFont val="sans-serif"/>
        <color rgb="FF000000"/>
      </rPr>
      <t>h</t>
    </r>
  </si>
  <si>
    <r>
      <rPr>
        <rFont val="sans-serif"/>
        <b/>
        <color rgb="FF000000"/>
        <u/>
      </rPr>
      <t>Batatas kelapa, ubi, bakar</t>
    </r>
  </si>
  <si>
    <r>
      <rPr>
        <rFont val="sans-serif"/>
        <b/>
        <color rgb="FF000000"/>
        <u/>
      </rPr>
      <t>Batatas kelapa, ubi, kukus</t>
    </r>
  </si>
  <si>
    <r>
      <rPr>
        <rFont val="sans-serif"/>
        <b/>
        <color rgb="FF000000"/>
        <u/>
      </rPr>
      <t>Batatas tali, ubi, rebus</t>
    </r>
  </si>
  <si>
    <r>
      <rPr>
        <rFont val="sans-serif"/>
        <b/>
        <color rgb="FF000000"/>
        <u/>
      </rPr>
      <t>Belitung, talas, kukus</t>
    </r>
  </si>
  <si>
    <r>
      <rPr>
        <rFont val="sans-serif"/>
        <b/>
        <color rgb="FF000000"/>
        <u/>
      </rPr>
      <t>Ketela pohon/singkong kukus</t>
    </r>
  </si>
  <si>
    <r>
      <rPr>
        <rFont val="sans-serif"/>
        <b/>
        <color rgb="FF000000"/>
        <u/>
      </rPr>
      <t>Ubi jalar, kuning, kukus</t>
    </r>
  </si>
  <si>
    <r>
      <rPr>
        <rFont val="sans-serif"/>
        <b/>
        <color rgb="FF000000"/>
        <u/>
      </rPr>
      <t>Ubi jalar tinta/ kemayung kukus</t>
    </r>
  </si>
  <si>
    <r>
      <rPr>
        <rFont val="sans-serif"/>
        <b/>
        <color rgb="FF000000"/>
        <u/>
      </rPr>
      <t>Ubi jalar merah, segar</t>
    </r>
  </si>
  <si>
    <r>
      <rPr>
        <rFont val="sans-serif"/>
        <b/>
        <color rgb="FF000000"/>
        <u/>
      </rPr>
      <t>Ubi jalar putih, segar</t>
    </r>
  </si>
  <si>
    <r>
      <rPr>
        <rFont val="sans-serif"/>
        <b/>
        <color rgb="FF000000"/>
        <u/>
      </rPr>
      <t>Keripik kentang</t>
    </r>
  </si>
  <si>
    <r>
      <rPr>
        <rFont val="sans-serif"/>
        <b/>
        <color rgb="FF000000"/>
      </rPr>
      <t>Keripik ub</t>
    </r>
    <r>
      <rPr>
        <rFont val="sans-serif"/>
        <color rgb="FF000000"/>
      </rPr>
      <t>i</t>
    </r>
  </si>
  <si>
    <r>
      <rPr>
        <rFont val="sans-serif"/>
        <b/>
        <color rgb="FF000000"/>
        <u/>
      </rPr>
      <t>Kerupuk cumi goreng</t>
    </r>
  </si>
  <si>
    <r>
      <rPr>
        <rFont val="sans-serif"/>
        <b/>
        <color rgb="FF000000"/>
        <u/>
      </rPr>
      <t>Kerupuk udang goreng</t>
    </r>
  </si>
  <si>
    <r>
      <rPr>
        <rFont val="sans-serif"/>
        <b/>
        <color rgb="FF000000"/>
        <u/>
      </rPr>
      <t>Kue putu singkong</t>
    </r>
  </si>
  <si>
    <r>
      <rPr>
        <rFont val="sans-serif"/>
        <b/>
        <color rgb="FF000000"/>
        <u/>
      </rPr>
      <t>Papeda</t>
    </r>
  </si>
  <si>
    <r>
      <rPr>
        <rFont val="sans-serif"/>
        <b/>
        <color rgb="FF000000"/>
      </rPr>
      <t>Kacang hijau, rebu</t>
    </r>
    <r>
      <rPr>
        <rFont val="sans-serif"/>
        <color rgb="FF000000"/>
      </rPr>
      <t>s</t>
    </r>
  </si>
  <si>
    <r>
      <rPr>
        <rFont val="sans-serif"/>
        <b/>
        <color rgb="FF000000"/>
        <u/>
      </rPr>
      <t>Kacang kedelai, goreng</t>
    </r>
  </si>
  <si>
    <r>
      <rPr>
        <rFont val="sans-serif"/>
        <b/>
        <color rgb="FF000000"/>
        <u/>
      </rPr>
      <t>Kacang kedelai, rebus</t>
    </r>
  </si>
  <si>
    <r>
      <rPr>
        <rFont val="sans-serif"/>
        <b/>
        <color rgb="FF000000"/>
        <u/>
      </rPr>
      <t>Kacang merah kering, rebus</t>
    </r>
  </si>
  <si>
    <r>
      <rPr>
        <rFont val="sans-serif"/>
        <b/>
        <color rgb="FF000000"/>
      </rPr>
      <t>Kacang merah segar, rebu</t>
    </r>
    <r>
      <rPr>
        <rFont val="sans-serif"/>
        <color rgb="FF000000"/>
      </rPr>
      <t>s</t>
    </r>
  </si>
  <si>
    <r>
      <rPr>
        <rFont val="sans-serif"/>
        <b/>
        <color rgb="FF000000"/>
        <u/>
      </rPr>
      <t>Kacang mete/biji jambu monyet, goreng</t>
    </r>
  </si>
  <si>
    <r>
      <rPr>
        <rFont val="sans-serif"/>
        <b/>
        <color rgb="FF000000"/>
        <u/>
      </rPr>
      <t>Kacang tanah rebus dg kulit</t>
    </r>
  </si>
  <si>
    <r>
      <rPr>
        <rFont val="sans-serif"/>
        <b/>
        <color rgb="FF000000"/>
        <u/>
      </rPr>
      <t>Dodol banjarmasin</t>
    </r>
  </si>
  <si>
    <r>
      <rPr>
        <rFont val="sans-serif"/>
        <b/>
        <color rgb="FF000000"/>
        <u/>
      </rPr>
      <t>Emping komak</t>
    </r>
  </si>
  <si>
    <r>
      <rPr>
        <rFont val="sans-serif"/>
        <b/>
        <color rgb="FF000000"/>
        <u/>
      </rPr>
      <t>Keju kacang tanah (peanut butter)</t>
    </r>
  </si>
  <si>
    <r>
      <rPr>
        <rFont val="sans-serif"/>
        <b/>
        <color rgb="FF000000"/>
        <u/>
      </rPr>
      <t>Kwaci</t>
    </r>
  </si>
  <si>
    <r>
      <rPr>
        <rFont val="sans-serif"/>
        <b/>
        <color rgb="FF000000"/>
        <u/>
      </rPr>
      <t>Moon tahu</t>
    </r>
  </si>
  <si>
    <r>
      <rPr>
        <rFont val="sans-serif"/>
        <b/>
        <color rgb="FF000000"/>
      </rPr>
      <t>Sayur lebu</t>
    </r>
    <r>
      <rPr>
        <rFont val="sans-serif"/>
        <color rgb="FF000000"/>
      </rPr>
      <t>i</t>
    </r>
  </si>
  <si>
    <r>
      <rPr>
        <rFont val="sans-serif"/>
        <b/>
        <color rgb="FF000000"/>
        <u/>
      </rPr>
      <t>Susu kedelai</t>
    </r>
  </si>
  <si>
    <r>
      <rPr>
        <rFont val="sans-serif"/>
        <b/>
        <color rgb="FF000000"/>
        <u/>
      </rPr>
      <t>Tahu goreng</t>
    </r>
  </si>
  <si>
    <r>
      <rPr>
        <rFont val="sans-serif"/>
        <b/>
        <color rgb="FF000000"/>
      </rPr>
      <t>Tahu telu</t>
    </r>
    <r>
      <rPr>
        <rFont val="sans-serif"/>
        <color rgb="FF000000"/>
      </rPr>
      <t>r</t>
    </r>
  </si>
  <si>
    <r>
      <rPr>
        <rFont val="sans-serif"/>
        <b/>
        <color rgb="FF000000"/>
        <u/>
      </rPr>
      <t>Tempe pasar goreng</t>
    </r>
  </si>
  <si>
    <r>
      <rPr>
        <rFont val="sans-serif"/>
        <b/>
        <color rgb="FF000000"/>
        <u/>
      </rPr>
      <t>Nasi dan campuran bihun, rasa daging sapi, disiapkan dengan 80% margarin</t>
    </r>
  </si>
  <si>
    <r>
      <rPr>
        <rFont val="sans-serif"/>
        <b/>
        <color rgb="FF000000"/>
        <u/>
      </rPr>
      <t>Salad kentang dengan telur</t>
    </r>
  </si>
  <si>
    <r>
      <rPr>
        <rFont val="sans-serif"/>
        <b/>
        <color rgb="FF000000"/>
        <u/>
      </rPr>
      <t>Spaghettios, Spageti dengan Bakso</t>
    </r>
  </si>
  <si>
    <r>
      <rPr>
        <rFont val="sans-serif"/>
        <b/>
        <color rgb="FF000000"/>
      </rPr>
      <t>Apel, beku, tanpa pemanis, tidak dipanaska</t>
    </r>
    <r>
      <rPr>
        <rFont val="sans-serif"/>
        <color rgb="FF000000"/>
      </rPr>
      <t>n</t>
    </r>
  </si>
  <si>
    <r>
      <rPr>
        <rFont val="sans-serif"/>
        <b/>
        <color rgb="FF000000"/>
        <u/>
      </rPr>
      <t>Apel, mentah, dengan kulit</t>
    </r>
  </si>
  <si>
    <r>
      <rPr>
        <rFont val="sans-serif"/>
        <b/>
        <color rgb="FF000000"/>
        <u/>
      </rPr>
      <t>Alpukat, mentah, semua varietas komersial</t>
    </r>
  </si>
  <si>
    <r>
      <rPr>
        <rFont val="sans-serif"/>
        <b/>
        <color rgb="FF000000"/>
        <u/>
      </rPr>
      <t>Buah delima, mentah</t>
    </r>
  </si>
  <si>
    <r>
      <rPr>
        <rFont val="sans-serif"/>
        <b/>
        <color rgb="FF000000"/>
      </rPr>
      <t>Jambu biji, umum, menta</t>
    </r>
    <r>
      <rPr>
        <rFont val="sans-serif"/>
        <color rgb="FF000000"/>
      </rPr>
      <t>h</t>
    </r>
  </si>
  <si>
    <r>
      <rPr>
        <rFont val="sans-serif"/>
        <b/>
        <color rgb="FF000000"/>
        <u/>
      </rPr>
      <t>Pepaya, mentah</t>
    </r>
  </si>
  <si>
    <r>
      <rPr>
        <rFont val="sans-serif"/>
        <b/>
        <color rgb="FF000000"/>
        <u/>
      </rPr>
      <t>Pir, mentah</t>
    </r>
  </si>
  <si>
    <r>
      <rPr>
        <rFont val="sans-serif"/>
        <b/>
        <color rgb="FF000000"/>
      </rPr>
      <t>Pisang, menta</t>
    </r>
    <r>
      <rPr>
        <rFont val="sans-serif"/>
        <color rgb="FF000000"/>
      </rPr>
      <t>h</t>
    </r>
  </si>
  <si>
    <r>
      <rPr>
        <rFont val="sans-serif"/>
        <b/>
        <color rgb="FF000000"/>
        <u/>
      </rPr>
      <t>Salad buah, (nanas dan pepaya dan pisang dan jambu biji), tropis, kalengan, sirup berat, padatan dan cairan</t>
    </r>
  </si>
  <si>
    <r>
      <rPr>
        <rFont val="sans-serif"/>
        <b/>
        <color rgb="FF000000"/>
        <u/>
      </rPr>
      <t>Bayam spinacia, beku, cincang atau daun, dimasak, direbus, tiriskan, dengan garam</t>
    </r>
  </si>
  <si>
    <r>
      <rPr>
        <rFont val="sans-serif"/>
        <b/>
        <color rgb="FF000000"/>
        <u/>
      </rPr>
      <t>Bayam spinacia, beku, cincang atau daun, dimasak, direbus, tiriskan, tanpa garam</t>
    </r>
  </si>
  <si>
    <r>
      <rPr>
        <b/>
        <color rgb="FF1155CC"/>
        <u/>
      </rPr>
      <t>Nama Bahan Makanan</t>
    </r>
  </si>
  <si>
    <t>Air</t>
  </si>
  <si>
    <t>Energi</t>
  </si>
  <si>
    <t>Abu</t>
  </si>
  <si>
    <r>
      <rPr>
        <rFont val="Arial"/>
        <b/>
        <color rgb="FF1155CC"/>
        <u/>
      </rPr>
      <t>Kalsium</t>
    </r>
    <r>
      <rPr>
        <rFont val="Arial"/>
        <b/>
        <color rgb="FF000000"/>
      </rPr>
      <t xml:space="preserve">
(Ca</t>
    </r>
  </si>
  <si>
    <r>
      <rPr>
        <rFont val="sans-serif"/>
        <b/>
        <color rgb="FF1155CC"/>
        <u/>
      </rPr>
      <t>Fosfor</t>
    </r>
    <r>
      <rPr>
        <rFont val="sans-serif"/>
        <b/>
      </rPr>
      <t xml:space="preserve">
(P)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</si>
  <si>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Besi</t>
    </r>
    <r>
      <rPr>
        <rFont val="sans-serif"/>
        <b/>
      </rPr>
      <t xml:space="preserve">
(Fe)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</si>
  <si>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Natrium</t>
    </r>
    <r>
      <rPr>
        <rFont val="sans-serif"/>
        <b/>
      </rPr>
      <t xml:space="preserve">
(Na)  </t>
    </r>
    <r>
      <rPr>
        <rFont val="sans-serif"/>
        <b/>
        <color rgb="FF1155CC"/>
        <u/>
      </rPr>
      <t>⇲</t>
    </r>
  </si>
  <si>
    <t>(Kal)</t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</si>
  <si>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</si>
  <si>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</si>
  <si>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</si>
  <si>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</si>
  <si>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</si>
  <si>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</si>
  <si>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</si>
  <si>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kukus</t>
    </r>
  </si>
  <si>
    <t>-</t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</si>
  <si>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</si>
  <si>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</si>
  <si>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</si>
  <si>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</si>
  <si>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</si>
  <si>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</si>
  <si>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</si>
  <si>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</si>
  <si>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</si>
  <si>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</si>
  <si>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</si>
  <si>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</si>
  <si>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</si>
  <si>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</si>
  <si>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</si>
  <si>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</si>
  <si>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</si>
  <si>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</si>
  <si>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</si>
  <si>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</si>
  <si>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</si>
  <si>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</si>
  <si>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</si>
  <si>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</si>
  <si>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</si>
  <si>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</si>
  <si>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</si>
  <si>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</si>
  <si>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</si>
  <si>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</si>
  <si>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Air</t>
    </r>
    <r>
      <rPr>
        <rFont val="sans-serif"/>
        <b/>
      </rPr>
      <t xml:space="preserve">
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</si>
  <si>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Energi</t>
    </r>
    <r>
      <rPr>
        <rFont val="sans-serif"/>
        <b/>
      </rPr>
      <t xml:space="preserve">
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</si>
  <si>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Protein</t>
    </r>
    <r>
      <rPr>
        <rFont val="sans-serif"/>
        <b/>
      </rPr>
      <t xml:space="preserve">
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</si>
  <si>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Lemak</t>
    </r>
    <r>
      <rPr>
        <rFont val="sans-serif"/>
        <b/>
      </rPr>
      <t xml:space="preserve">
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</si>
  <si>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Abu</t>
    </r>
    <r>
      <rPr>
        <rFont val="sans-serif"/>
        <b/>
      </rPr>
      <t xml:space="preserve">
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</si>
  <si>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Karbohidrat</t>
    </r>
    <r>
      <rPr>
        <rFont val="sans-serif"/>
        <b/>
      </rPr>
      <t xml:space="preserve">
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</si>
  <si>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Serat</t>
    </r>
    <r>
      <rPr>
        <rFont val="sans-serif"/>
        <b/>
      </rPr>
      <t xml:space="preserve">
Total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</si>
  <si>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Gula</t>
    </r>
    <r>
      <rPr>
        <rFont val="sans-serif"/>
        <b/>
      </rPr>
      <t xml:space="preserve">
Total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</si>
  <si>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Kalsium</t>
    </r>
    <r>
      <rPr>
        <rFont val="sans-serif"/>
        <b/>
      </rPr>
      <t xml:space="preserve">
(Ca)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</si>
  <si>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Besi</t>
    </r>
    <r>
      <rPr>
        <rFont val="sans-serif"/>
        <b/>
      </rPr>
      <t xml:space="preserve">
(Fe)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</si>
  <si>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Magnesium</t>
    </r>
    <r>
      <rPr>
        <rFont val="sans-serif"/>
        <b/>
      </rPr>
      <t xml:space="preserve">
(Mg)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</si>
  <si>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Fosfor</t>
    </r>
    <r>
      <rPr>
        <rFont val="sans-serif"/>
        <b/>
      </rPr>
      <t xml:space="preserve">
(P)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</si>
  <si>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Kalium</t>
    </r>
    <r>
      <rPr>
        <rFont val="sans-serif"/>
        <b/>
      </rPr>
      <t xml:space="preserve">
(K)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</si>
  <si>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Natrium</t>
    </r>
    <r>
      <rPr>
        <rFont val="sans-serif"/>
        <b/>
      </rPr>
      <t xml:space="preserve">
(Na)  </t>
    </r>
    <r>
      <rPr>
        <rFont val="sans-serif"/>
        <b/>
        <color rgb="FF1155CC"/>
        <u/>
      </rPr>
      <t>⇲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</si>
  <si>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</si>
  <si>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</si>
  <si>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</si>
  <si>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</si>
  <si>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</si>
  <si>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</si>
  <si>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</si>
  <si>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</si>
  <si>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</si>
  <si>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</si>
  <si>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</si>
  <si>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</si>
  <si>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</si>
  <si>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</si>
  <si>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t>Konversi Sub-Kriteria → Nilai Numerik</t>
  </si>
  <si>
    <t>Matrik Ternormalisasi [R]</t>
  </si>
  <si>
    <t>Matrik Ternormalisasi Terbobot [Y]</t>
  </si>
  <si>
    <t>Jarak Dengan Solusi Ideal [Di]</t>
  </si>
  <si>
    <t>Nilai Preferensi Untuk Setiap Alternatif  [V]</t>
  </si>
  <si>
    <r>
      <rPr>
        <b/>
        <color rgb="FF1155CC"/>
        <u/>
      </rPr>
      <t>Nama Bahan Makanan</t>
    </r>
  </si>
  <si>
    <r>
      <rPr>
        <b/>
        <color rgb="FF1155CC"/>
        <u/>
      </rPr>
      <t>Nama Bahan Makanan</t>
    </r>
  </si>
  <si>
    <r>
      <rPr>
        <rFont val="Arial"/>
        <b/>
        <color rgb="FF1155CC"/>
        <u/>
      </rPr>
      <t>Nama Bahan Makanan</t>
    </r>
  </si>
  <si>
    <r>
      <rPr>
        <rFont val="Arial"/>
        <b/>
        <color rgb="FF1155CC"/>
        <u/>
      </rPr>
      <t>Protein</t>
    </r>
    <r>
      <rPr>
        <rFont val="Arial"/>
        <b/>
        <color rgb="FF1F1F1F"/>
      </rPr>
      <t xml:space="preserve"> / W=0,2</t>
    </r>
  </si>
  <si>
    <r>
      <rPr>
        <rFont val="Arial"/>
        <b/>
        <color rgb="FF1155CC"/>
        <u/>
      </rPr>
      <t>Lemak</t>
    </r>
    <r>
      <rPr>
        <rFont val="Arial"/>
        <b/>
        <color rgb="FF1F1F1F"/>
      </rPr>
      <t xml:space="preserve"> / W=0,15</t>
    </r>
  </si>
  <si>
    <r>
      <rPr>
        <rFont val="Arial"/>
        <b/>
        <color rgb="FF1155CC"/>
        <u/>
      </rPr>
      <t>Karbohidrat</t>
    </r>
    <r>
      <rPr>
        <rFont val="Arial"/>
        <b/>
        <color rgb="FF1F1F1F"/>
      </rPr>
      <t xml:space="preserve"> / W=0,1</t>
    </r>
  </si>
  <si>
    <r>
      <rPr>
        <rFont val="Arial"/>
        <b/>
        <color rgb="FF1155CC"/>
        <u/>
      </rPr>
      <t>Serat</t>
    </r>
    <r>
      <rPr>
        <rFont val="Arial"/>
        <b/>
        <color rgb="FF1F1F1F"/>
      </rPr>
      <t xml:space="preserve"> / W=0,25</t>
    </r>
  </si>
  <si>
    <r>
      <rPr>
        <rFont val="Arial"/>
        <b/>
        <color rgb="FF1155CC"/>
        <u/>
      </rPr>
      <t>Natrium</t>
    </r>
    <r>
      <rPr>
        <rFont val="Arial"/>
        <b/>
        <color rgb="FF1F1F1F"/>
      </rPr>
      <t xml:space="preserve"> / W=0,3</t>
    </r>
  </si>
  <si>
    <r>
      <rPr>
        <b/>
        <color rgb="FF1155CC"/>
        <u/>
      </rPr>
      <t>Nama Bahan Makanan</t>
    </r>
  </si>
  <si>
    <t>Di+</t>
  </si>
  <si>
    <t>Di-</t>
  </si>
  <si>
    <r>
      <rPr>
        <rFont val="Arial"/>
        <b/>
        <color rgb="FF1155CC"/>
        <u/>
      </rPr>
      <t>Nama Bahan Makanan</t>
    </r>
  </si>
  <si>
    <t>Vn</t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</si>
  <si>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</si>
  <si>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</si>
  <si>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</si>
  <si>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</si>
  <si>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</si>
  <si>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</si>
  <si>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</si>
  <si>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  <color rgb="FF1155CC"/>
        <u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</si>
  <si>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</si>
  <si>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  <color rgb="FF1155CC"/>
        <u/>
      </rPr>
      <t>t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</si>
  <si>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</si>
  <si>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</si>
  <si>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</si>
  <si>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</si>
  <si>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</si>
  <si>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t>RANK</t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</si>
  <si>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</si>
  <si>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</si>
  <si>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  <color rgb="FF1155CC"/>
        <u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</si>
  <si>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</si>
  <si>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  <color rgb="FF1155CC"/>
        <u/>
      </rPr>
      <t>o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</si>
  <si>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</si>
  <si>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</si>
  <si>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</si>
  <si>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</si>
  <si>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</si>
  <si>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</si>
  <si>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</si>
  <si>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  <color rgb="FF1155CC"/>
        <u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</si>
  <si>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</si>
  <si>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  <color rgb="FF1155CC"/>
        <u/>
      </rPr>
      <t>h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</si>
  <si>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</si>
  <si>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</si>
  <si>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</si>
  <si>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</si>
  <si>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</si>
  <si>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</si>
  <si>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</si>
  <si>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</si>
  <si>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</si>
  <si>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</si>
  <si>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</si>
  <si>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</si>
  <si>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</si>
  <si>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</si>
  <si>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</si>
  <si>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</si>
  <si>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</si>
  <si>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</si>
  <si>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</si>
  <si>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</si>
  <si>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</si>
  <si>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</si>
  <si>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</si>
  <si>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</si>
  <si>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</si>
  <si>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</si>
  <si>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</si>
  <si>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</si>
  <si>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</si>
  <si>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</si>
  <si>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</si>
  <si>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</si>
  <si>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</si>
  <si>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</si>
  <si>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</si>
  <si>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</si>
  <si>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</si>
  <si>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</si>
  <si>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</si>
  <si>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</si>
  <si>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</si>
  <si>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</si>
  <si>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</si>
  <si>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</si>
  <si>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</si>
  <si>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</si>
  <si>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</si>
  <si>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</si>
  <si>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</si>
  <si>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</si>
  <si>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</si>
  <si>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</si>
  <si>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</si>
  <si>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</si>
  <si>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</si>
  <si>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</si>
  <si>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</si>
  <si>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</si>
  <si>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</si>
  <si>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</si>
  <si>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</si>
  <si>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</si>
  <si>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</si>
  <si>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</si>
  <si>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</si>
  <si>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</si>
  <si>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</si>
  <si>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</si>
  <si>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</si>
  <si>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</si>
  <si>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</si>
  <si>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</si>
  <si>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</si>
  <si>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</si>
  <si>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</si>
  <si>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</si>
  <si>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</si>
  <si>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  <color rgb="FF1155CC"/>
        <u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</si>
  <si>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</si>
  <si>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  <color rgb="FF1155CC"/>
        <u/>
      </rPr>
      <t>s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</si>
  <si>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</si>
  <si>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</si>
  <si>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</si>
  <si>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</si>
  <si>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</si>
  <si>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</si>
  <si>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</si>
  <si>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</si>
  <si>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</si>
  <si>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</si>
  <si>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t>x^2</t>
  </si>
  <si>
    <t>A+</t>
  </si>
  <si>
    <t>A-</t>
  </si>
  <si>
    <r>
      <rPr>
        <b/>
        <color rgb="FF1155CC"/>
        <u/>
      </rPr>
      <t>Nama Bahan Makanan</t>
    </r>
  </si>
  <si>
    <r>
      <rPr>
        <b/>
        <color rgb="FF1155CC"/>
        <u/>
      </rPr>
      <t>Nama Bahan Makanan</t>
    </r>
  </si>
  <si>
    <r>
      <rPr>
        <rFont val="Arial"/>
        <b/>
        <color rgb="FF1155CC"/>
        <u/>
      </rPr>
      <t>Nama Bahan Makanan</t>
    </r>
  </si>
  <si>
    <r>
      <rPr>
        <rFont val="Arial"/>
        <b/>
        <color rgb="FF1155CC"/>
        <u/>
      </rPr>
      <t>Protein</t>
    </r>
    <r>
      <rPr>
        <rFont val="Arial"/>
        <b/>
        <color rgb="FF1F1F1F"/>
      </rPr>
      <t xml:space="preserve"> / W=0,05</t>
    </r>
  </si>
  <si>
    <r>
      <rPr>
        <rFont val="Arial"/>
        <b/>
        <color rgb="FF1155CC"/>
        <u/>
      </rPr>
      <t>Lemak</t>
    </r>
    <r>
      <rPr>
        <rFont val="Arial"/>
        <b/>
        <color rgb="FF1F1F1F"/>
      </rPr>
      <t xml:space="preserve"> / W=0,25</t>
    </r>
  </si>
  <si>
    <r>
      <rPr>
        <rFont val="Arial"/>
        <b/>
        <color rgb="FF1155CC"/>
        <u/>
      </rPr>
      <t>Karbohidrat</t>
    </r>
    <r>
      <rPr>
        <rFont val="Arial"/>
        <b/>
        <color rgb="FF1F1F1F"/>
      </rPr>
      <t xml:space="preserve"> / W=0,2</t>
    </r>
  </si>
  <si>
    <r>
      <rPr>
        <rFont val="Arial"/>
        <b/>
        <color rgb="FF1155CC"/>
        <u/>
      </rPr>
      <t>Serat</t>
    </r>
    <r>
      <rPr>
        <rFont val="Arial"/>
        <b/>
        <color rgb="FF1F1F1F"/>
      </rPr>
      <t xml:space="preserve"> / W=0,1</t>
    </r>
  </si>
  <si>
    <r>
      <rPr>
        <rFont val="Arial"/>
        <b/>
        <color rgb="FF1155CC"/>
        <u/>
      </rPr>
      <t>Natrium</t>
    </r>
    <r>
      <rPr>
        <rFont val="Arial"/>
        <b/>
        <color rgb="FF1F1F1F"/>
      </rPr>
      <t xml:space="preserve"> / W=0,4</t>
    </r>
  </si>
  <si>
    <r>
      <rPr>
        <b/>
        <color rgb="FF1155CC"/>
        <u/>
      </rPr>
      <t>Nama Bahan Makanan</t>
    </r>
  </si>
  <si>
    <r>
      <rPr>
        <rFont val="Arial"/>
        <b/>
        <color rgb="FF1155CC"/>
        <u/>
      </rPr>
      <t>Nama Bahan Makanan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</si>
  <si>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</si>
  <si>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</si>
  <si>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</si>
  <si>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</si>
  <si>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</si>
  <si>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</si>
  <si>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</si>
  <si>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  <color rgb="FF1155CC"/>
        <u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</si>
  <si>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</si>
  <si>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  <color rgb="FF1155CC"/>
        <u/>
      </rPr>
      <t>t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</si>
  <si>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</si>
  <si>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</si>
  <si>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</si>
  <si>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</si>
  <si>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</si>
  <si>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</si>
  <si>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</si>
  <si>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  <color rgb="FF1155CC"/>
        <u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</si>
  <si>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</si>
  <si>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  <color rgb="FF1155CC"/>
        <u/>
      </rPr>
      <t>o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</si>
  <si>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</si>
  <si>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</si>
  <si>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</si>
  <si>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</si>
  <si>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</si>
  <si>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</si>
  <si>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</si>
  <si>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  <color rgb="FF1155CC"/>
        <u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</si>
  <si>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</si>
  <si>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  <color rgb="FF1155CC"/>
        <u/>
      </rPr>
      <t>h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</si>
  <si>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</si>
  <si>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</si>
  <si>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</si>
  <si>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</si>
  <si>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</si>
  <si>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</si>
  <si>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</si>
  <si>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</si>
  <si>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</si>
  <si>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</si>
  <si>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</si>
  <si>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</si>
  <si>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</si>
  <si>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</si>
  <si>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</si>
  <si>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</si>
  <si>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</si>
  <si>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</si>
  <si>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</si>
  <si>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</si>
  <si>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</si>
  <si>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</si>
  <si>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</si>
  <si>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</si>
  <si>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</si>
  <si>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</si>
  <si>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</si>
  <si>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</si>
  <si>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</si>
  <si>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</si>
  <si>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</si>
  <si>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</si>
  <si>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</si>
  <si>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</si>
  <si>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</si>
  <si>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</si>
  <si>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</si>
  <si>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</si>
  <si>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</si>
  <si>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</si>
  <si>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</si>
  <si>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</si>
  <si>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</si>
  <si>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</si>
  <si>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</si>
  <si>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</si>
  <si>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</si>
  <si>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</si>
  <si>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</si>
  <si>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</si>
  <si>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</si>
  <si>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</si>
  <si>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</si>
  <si>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</si>
  <si>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</si>
  <si>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</si>
  <si>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</si>
  <si>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</si>
  <si>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</si>
  <si>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</si>
  <si>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</si>
  <si>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</si>
  <si>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</si>
  <si>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</si>
  <si>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</si>
  <si>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</si>
  <si>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</si>
  <si>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</si>
  <si>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</si>
  <si>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</si>
  <si>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</si>
  <si>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</si>
  <si>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</si>
  <si>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</si>
  <si>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</si>
  <si>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</si>
  <si>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</si>
  <si>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  <color rgb="FF1155CC"/>
        <u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</si>
  <si>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</si>
  <si>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  <color rgb="FF1155CC"/>
        <u/>
      </rPr>
      <t>s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</si>
  <si>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</si>
  <si>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</si>
  <si>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</si>
  <si>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</si>
  <si>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</si>
  <si>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</si>
  <si>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</si>
  <si>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</si>
  <si>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</si>
  <si>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</si>
  <si>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t>Matrik Ternormalisasi</t>
  </si>
  <si>
    <t>Matrik Ternormalisasi Terbobot</t>
  </si>
  <si>
    <r>
      <rPr>
        <b/>
        <color rgb="FF1155CC"/>
        <u/>
      </rPr>
      <t>Nama Bahan Makanan</t>
    </r>
  </si>
  <si>
    <r>
      <rPr>
        <b/>
        <color rgb="FF1155CC"/>
        <u/>
      </rPr>
      <t>Nama Bahan Makanan</t>
    </r>
  </si>
  <si>
    <r>
      <rPr>
        <b/>
        <color rgb="FF1155CC"/>
        <u/>
      </rPr>
      <t>Nama Bahan Makanan</t>
    </r>
  </si>
  <si>
    <r>
      <rPr>
        <rFont val="Arial"/>
        <b/>
        <color rgb="FF1155CC"/>
        <u/>
      </rPr>
      <t>Protein</t>
    </r>
    <r>
      <rPr>
        <rFont val="Arial"/>
        <b/>
        <color rgb="FF1F1F1F"/>
      </rPr>
      <t xml:space="preserve"> / W=4</t>
    </r>
  </si>
  <si>
    <r>
      <rPr>
        <rFont val="Arial"/>
        <b/>
        <color rgb="FF1155CC"/>
        <u/>
      </rPr>
      <t>Lemak</t>
    </r>
    <r>
      <rPr>
        <rFont val="Arial"/>
        <b/>
        <color rgb="FF1F1F1F"/>
      </rPr>
      <t xml:space="preserve"> / W=3</t>
    </r>
  </si>
  <si>
    <r>
      <rPr>
        <rFont val="Arial"/>
        <b/>
        <color rgb="FF1155CC"/>
        <u/>
      </rPr>
      <t>Karbohidrat</t>
    </r>
    <r>
      <rPr>
        <rFont val="Arial"/>
        <b/>
        <color rgb="FF1F1F1F"/>
      </rPr>
      <t xml:space="preserve"> / W=2</t>
    </r>
  </si>
  <si>
    <r>
      <rPr>
        <rFont val="Arial"/>
        <b/>
        <color rgb="FF1155CC"/>
        <u/>
      </rPr>
      <t>Serat</t>
    </r>
    <r>
      <rPr>
        <rFont val="Arial"/>
        <b/>
        <color rgb="FF1F1F1F"/>
      </rPr>
      <t xml:space="preserve"> / W=4</t>
    </r>
  </si>
  <si>
    <r>
      <rPr>
        <rFont val="Arial"/>
        <b/>
        <color rgb="FF1155CC"/>
        <u/>
      </rPr>
      <t>Natrium</t>
    </r>
    <r>
      <rPr>
        <rFont val="Arial"/>
        <b/>
        <color rgb="FF1F1F1F"/>
      </rPr>
      <t xml:space="preserve"> / W=5</t>
    </r>
  </si>
  <si>
    <r>
      <rPr>
        <b/>
        <color rgb="FF1155CC"/>
        <u/>
      </rPr>
      <t>Nama Bahan Makanan</t>
    </r>
  </si>
  <si>
    <r>
      <rPr>
        <rFont val="Arial"/>
        <b/>
        <color rgb="FF1155CC"/>
        <u/>
      </rPr>
      <t>Nama Bahan Makanan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</si>
  <si>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</si>
  <si>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</si>
  <si>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</si>
  <si>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</si>
  <si>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</si>
  <si>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</si>
  <si>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</si>
  <si>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</si>
  <si>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</si>
  <si>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  <color rgb="FF1155CC"/>
        <u/>
      </rPr>
      <t>t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</si>
  <si>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</si>
  <si>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</si>
  <si>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</si>
  <si>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</si>
  <si>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</si>
  <si>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</si>
  <si>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</si>
  <si>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</si>
  <si>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</si>
  <si>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  <color rgb="FF1155CC"/>
        <u/>
      </rPr>
      <t>o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</si>
  <si>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</si>
  <si>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</si>
  <si>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</si>
  <si>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</si>
  <si>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</si>
  <si>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</si>
  <si>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</si>
  <si>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</si>
  <si>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</si>
  <si>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  <color rgb="FF1155CC"/>
        <u/>
      </rPr>
      <t>h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</si>
  <si>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</si>
  <si>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</si>
  <si>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</si>
  <si>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</si>
  <si>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</si>
  <si>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</si>
  <si>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</si>
  <si>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</si>
  <si>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</si>
  <si>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</si>
  <si>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</si>
  <si>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</si>
  <si>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</si>
  <si>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</si>
  <si>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</si>
  <si>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</si>
  <si>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</si>
  <si>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</si>
  <si>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</si>
  <si>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</si>
  <si>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</si>
  <si>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</si>
  <si>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</si>
  <si>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</si>
  <si>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</si>
  <si>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</si>
  <si>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</si>
  <si>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</si>
  <si>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</si>
  <si>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</si>
  <si>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</si>
  <si>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</si>
  <si>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</si>
  <si>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</si>
  <si>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</si>
  <si>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</si>
  <si>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</si>
  <si>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</si>
  <si>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</si>
  <si>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</si>
  <si>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</si>
  <si>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</si>
  <si>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</si>
  <si>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</si>
  <si>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</si>
  <si>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</si>
  <si>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</si>
  <si>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</si>
  <si>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</si>
  <si>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</si>
  <si>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</si>
  <si>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</si>
  <si>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</si>
  <si>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</si>
  <si>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</si>
  <si>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</si>
  <si>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</si>
  <si>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</si>
  <si>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</si>
  <si>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</si>
  <si>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</si>
  <si>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</si>
  <si>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</si>
  <si>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</si>
  <si>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</si>
  <si>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</si>
  <si>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</si>
  <si>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</si>
  <si>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</si>
  <si>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</si>
  <si>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</si>
  <si>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</si>
  <si>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</si>
  <si>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</si>
  <si>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</si>
  <si>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</si>
  <si>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</si>
  <si>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</si>
  <si>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</si>
  <si>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  <color rgb="FF1155CC"/>
        <u/>
      </rPr>
      <t>s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</si>
  <si>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</si>
  <si>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</si>
  <si>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</si>
  <si>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</si>
  <si>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</si>
  <si>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</si>
  <si>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</si>
  <si>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</si>
  <si>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</si>
  <si>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</si>
  <si>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</si>
  <si>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</si>
  <si>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</si>
  <si>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</si>
  <si>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</si>
  <si>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</si>
  <si>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</si>
  <si>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</si>
  <si>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</si>
  <si>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</si>
  <si>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</si>
  <si>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</si>
  <si>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</si>
  <si>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</si>
  <si>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</si>
  <si>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</si>
  <si>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</si>
  <si>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</si>
  <si>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</si>
  <si>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</si>
  <si>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</si>
  <si>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</si>
  <si>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</si>
  <si>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</si>
  <si>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</si>
  <si>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</si>
  <si>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</si>
  <si>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</si>
  <si>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</si>
  <si>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</si>
  <si>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</si>
  <si>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</si>
  <si>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</si>
  <si>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</si>
  <si>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</si>
  <si>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</si>
  <si>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</si>
  <si>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</si>
  <si>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</si>
  <si>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</si>
  <si>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</si>
  <si>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</si>
  <si>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</si>
  <si>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</si>
  <si>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</si>
  <si>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</si>
  <si>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</si>
  <si>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</si>
  <si>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</si>
  <si>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</si>
  <si>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</si>
  <si>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</si>
  <si>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</si>
  <si>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</si>
  <si>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</si>
  <si>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</si>
  <si>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</si>
  <si>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</si>
  <si>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</si>
  <si>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</si>
  <si>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</si>
  <si>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</si>
  <si>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</si>
  <si>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</si>
  <si>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</si>
  <si>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</si>
  <si>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</si>
  <si>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</si>
  <si>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</si>
  <si>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</si>
  <si>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</si>
  <si>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</si>
  <si>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</si>
  <si>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</si>
  <si>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</si>
  <si>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</si>
  <si>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</si>
  <si>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</si>
  <si>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</si>
  <si>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</si>
  <si>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</si>
  <si>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</si>
  <si>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</si>
  <si>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</si>
  <si>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</si>
  <si>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</si>
  <si>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</si>
  <si>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</si>
  <si>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</si>
  <si>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</si>
  <si>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</si>
  <si>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</si>
  <si>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</si>
  <si>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</si>
  <si>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</si>
  <si>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</si>
  <si>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</si>
  <si>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</si>
  <si>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</si>
  <si>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</si>
  <si>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</si>
  <si>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</si>
  <si>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</si>
  <si>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</si>
  <si>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</si>
  <si>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</si>
  <si>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</si>
  <si>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</si>
  <si>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</si>
  <si>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</si>
  <si>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</si>
  <si>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</si>
  <si>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</si>
  <si>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</si>
  <si>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</si>
  <si>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</si>
  <si>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</si>
  <si>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</si>
  <si>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</si>
  <si>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</si>
  <si>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</si>
  <si>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</si>
  <si>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</si>
  <si>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</si>
  <si>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</si>
  <si>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</si>
  <si>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</si>
  <si>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</si>
  <si>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</si>
  <si>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</si>
  <si>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</si>
  <si>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</si>
  <si>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</si>
  <si>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</si>
  <si>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</si>
  <si>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</si>
  <si>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</si>
  <si>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</si>
  <si>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</si>
  <si>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</si>
  <si>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b/>
        <color rgb="FF1155CC"/>
        <u/>
      </rPr>
      <t>Nama Bahan Makanan</t>
    </r>
  </si>
  <si>
    <r>
      <rPr>
        <b/>
        <color rgb="FF1155CC"/>
        <u/>
      </rPr>
      <t>Nama Bahan Makanan</t>
    </r>
  </si>
  <si>
    <r>
      <rPr>
        <b/>
        <color rgb="FF1155CC"/>
        <u/>
      </rPr>
      <t>Nama Bahan Makanan</t>
    </r>
  </si>
  <si>
    <r>
      <rPr>
        <rFont val="Arial"/>
        <b/>
        <color rgb="FF1155CC"/>
        <u/>
      </rPr>
      <t>Protein</t>
    </r>
    <r>
      <rPr>
        <rFont val="Arial"/>
        <b/>
        <color rgb="FF1F1F1F"/>
      </rPr>
      <t xml:space="preserve"> / W=4</t>
    </r>
  </si>
  <si>
    <r>
      <rPr>
        <rFont val="Arial"/>
        <b/>
        <color rgb="FF1155CC"/>
        <u/>
      </rPr>
      <t>Lemak</t>
    </r>
    <r>
      <rPr>
        <rFont val="Arial"/>
        <b/>
        <color rgb="FF1F1F1F"/>
      </rPr>
      <t xml:space="preserve"> / W=3</t>
    </r>
  </si>
  <si>
    <r>
      <rPr>
        <rFont val="Arial"/>
        <b/>
        <color rgb="FF1155CC"/>
        <u/>
      </rPr>
      <t>Karbohidrat</t>
    </r>
    <r>
      <rPr>
        <rFont val="Arial"/>
        <b/>
        <color rgb="FF1F1F1F"/>
      </rPr>
      <t xml:space="preserve"> / W=2</t>
    </r>
  </si>
  <si>
    <r>
      <rPr>
        <rFont val="Arial"/>
        <b/>
        <color rgb="FF1155CC"/>
        <u/>
      </rPr>
      <t>Serat</t>
    </r>
    <r>
      <rPr>
        <rFont val="Arial"/>
        <b/>
        <color rgb="FF1F1F1F"/>
      </rPr>
      <t xml:space="preserve"> / W=4</t>
    </r>
  </si>
  <si>
    <r>
      <rPr>
        <rFont val="Arial"/>
        <b/>
        <color rgb="FF1155CC"/>
        <u/>
      </rPr>
      <t>Natrium</t>
    </r>
    <r>
      <rPr>
        <rFont val="Arial"/>
        <b/>
        <color rgb="FF1F1F1F"/>
      </rPr>
      <t xml:space="preserve"> / W=5</t>
    </r>
  </si>
  <si>
    <r>
      <rPr>
        <b/>
        <color rgb="FF1155CC"/>
        <u/>
      </rPr>
      <t>Nama Bahan Makanan</t>
    </r>
  </si>
  <si>
    <r>
      <rPr>
        <rFont val="Arial"/>
        <b/>
        <color rgb="FF1155CC"/>
        <u/>
      </rPr>
      <t>Nama Bahan Makanan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</si>
  <si>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</si>
  <si>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</si>
  <si>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</si>
  <si>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</rPr>
      <t>i</t>
    </r>
  </si>
  <si>
    <r>
      <rPr>
        <rFont val="sans-serif"/>
        <b/>
        <color rgb="FF1155CC"/>
        <u/>
      </rPr>
      <t>Nas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</si>
  <si>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</si>
  <si>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</si>
  <si>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</si>
  <si>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</rPr>
      <t>t</t>
    </r>
  </si>
  <si>
    <r>
      <rPr>
        <rFont val="sans-serif"/>
        <b/>
        <color rgb="FF1155CC"/>
        <u/>
      </rPr>
      <t>Biskui</t>
    </r>
    <r>
      <rPr>
        <rFont val="sans-serif"/>
        <color rgb="FF1155CC"/>
        <u/>
      </rPr>
      <t>t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</si>
  <si>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</si>
  <si>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</si>
  <si>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</si>
  <si>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</si>
  <si>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Bubur tinotuan (Manado)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</si>
  <si>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</si>
  <si>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</si>
  <si>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</si>
  <si>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</rPr>
      <t>o</t>
    </r>
  </si>
  <si>
    <r>
      <rPr>
        <rFont val="sans-serif"/>
        <b/>
        <color rgb="FF1155CC"/>
        <u/>
      </rPr>
      <t>Mie baks</t>
    </r>
    <r>
      <rPr>
        <rFont val="sans-serif"/>
        <color rgb="FF1155CC"/>
        <u/>
      </rPr>
      <t>o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</si>
  <si>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</si>
  <si>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</si>
  <si>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</si>
  <si>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</si>
  <si>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giling, mentah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</si>
  <si>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</si>
  <si>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</si>
  <si>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</si>
  <si>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</rPr>
      <t>h</t>
    </r>
  </si>
  <si>
    <r>
      <rPr>
        <rFont val="sans-serif"/>
        <b/>
        <color rgb="FF1155CC"/>
        <u/>
      </rPr>
      <t>Beras jagung kuning, kering, menta</t>
    </r>
    <r>
      <rPr>
        <rFont val="sans-serif"/>
        <color rgb="FF1155CC"/>
        <u/>
      </rPr>
      <t>h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</si>
  <si>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</si>
  <si>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</si>
  <si>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</si>
  <si>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</si>
  <si>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bakar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</si>
  <si>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</si>
  <si>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</si>
  <si>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</si>
  <si>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</si>
  <si>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kelapa, ubi, kukus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</si>
  <si>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</si>
  <si>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</si>
  <si>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</si>
  <si>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</si>
  <si>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Batatas tali, ubi, rebus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</si>
  <si>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</si>
  <si>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</si>
  <si>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</si>
  <si>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</si>
  <si>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Belitung, talas,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</si>
  <si>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</si>
  <si>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</si>
  <si>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</si>
  <si>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</si>
  <si>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Ketela pohon/singkong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</si>
  <si>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</si>
  <si>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</si>
  <si>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</si>
  <si>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</si>
  <si>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jalar, kuning,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</si>
  <si>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</si>
  <si>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</si>
  <si>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</si>
  <si>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</si>
  <si>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tinta/ kemayung kukus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</si>
  <si>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</si>
  <si>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</si>
  <si>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</si>
  <si>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</si>
  <si>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merah,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</si>
  <si>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</si>
  <si>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</si>
  <si>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</si>
  <si>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</si>
  <si>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Ubi jalar putih, segar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</si>
  <si>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</si>
  <si>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</si>
  <si>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</si>
  <si>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</si>
  <si>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kentang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</si>
  <si>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</si>
  <si>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</si>
  <si>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</si>
  <si>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</rPr>
      <t>i</t>
    </r>
  </si>
  <si>
    <r>
      <rPr>
        <rFont val="sans-serif"/>
        <b/>
        <color rgb="FF1155CC"/>
        <u/>
      </rPr>
      <t>Keripik ub</t>
    </r>
    <r>
      <rPr>
        <rFont val="sans-serif"/>
        <color rgb="FF1155CC"/>
        <u/>
      </rPr>
      <t>i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</si>
  <si>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</si>
  <si>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</si>
  <si>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</si>
  <si>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</si>
  <si>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cumi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</si>
  <si>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</si>
  <si>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</si>
  <si>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</si>
  <si>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</si>
  <si>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Kerupuk udang goreng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</si>
  <si>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</si>
  <si>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</si>
  <si>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</si>
  <si>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</si>
  <si>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Kue putu singkong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</si>
  <si>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</si>
  <si>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</si>
  <si>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</si>
  <si>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</si>
  <si>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Papeda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</si>
  <si>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</si>
  <si>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</si>
  <si>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</si>
  <si>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</rPr>
      <t>s</t>
    </r>
  </si>
  <si>
    <r>
      <rPr>
        <rFont val="sans-serif"/>
        <b/>
        <color rgb="FF1155CC"/>
        <u/>
      </rPr>
      <t>Kacang hijau, rebu</t>
    </r>
    <r>
      <rPr>
        <rFont val="sans-serif"/>
        <color rgb="FF1155CC"/>
        <u/>
      </rPr>
      <t>s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</si>
  <si>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</si>
  <si>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</si>
  <si>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</si>
  <si>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</si>
  <si>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goreng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</si>
  <si>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</si>
  <si>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</si>
  <si>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</si>
  <si>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</si>
  <si>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kedelai,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</si>
  <si>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</si>
  <si>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</si>
  <si>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</si>
  <si>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</si>
  <si>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kering, rebus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</si>
  <si>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</si>
  <si>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</si>
  <si>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</si>
  <si>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</si>
  <si>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merah segar, rebu</t>
    </r>
    <r>
      <rPr>
        <rFont val="sans-serif"/>
      </rPr>
      <t>s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</si>
  <si>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</si>
  <si>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</si>
  <si>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</si>
  <si>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</si>
  <si>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mete/biji jambu monyet, goreng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</si>
  <si>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</si>
  <si>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</si>
  <si>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</si>
  <si>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</si>
  <si>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Kacang tanah rebus dg kulit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</si>
  <si>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</si>
  <si>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</si>
  <si>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</si>
  <si>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</si>
  <si>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Dodol banjarmasin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</si>
  <si>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</si>
  <si>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</si>
  <si>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</si>
  <si>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</si>
  <si>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Emping komak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</si>
  <si>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</si>
  <si>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</si>
  <si>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</si>
  <si>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</si>
  <si>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Keju kacang tanah (peanut butter)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</si>
  <si>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</si>
  <si>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</si>
  <si>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</si>
  <si>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</si>
  <si>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Kwaci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</si>
  <si>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</si>
  <si>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</si>
  <si>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</si>
  <si>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</si>
  <si>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Moon tahu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</si>
  <si>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</si>
  <si>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</si>
  <si>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</si>
  <si>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</si>
  <si>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Sayur lebu</t>
    </r>
    <r>
      <rPr>
        <rFont val="sans-serif"/>
      </rPr>
      <t>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</si>
  <si>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</si>
  <si>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</si>
  <si>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</si>
  <si>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</si>
  <si>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Susu kedelai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</si>
  <si>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</si>
  <si>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</si>
  <si>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</si>
  <si>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</si>
  <si>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goreng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</si>
  <si>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</si>
  <si>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</si>
  <si>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</si>
  <si>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</si>
  <si>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Tahu telu</t>
    </r>
    <r>
      <rPr>
        <rFont val="sans-serif"/>
      </rPr>
      <t>r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</si>
  <si>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</si>
  <si>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</si>
  <si>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</si>
  <si>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</si>
  <si>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Tempe pasar goreng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</si>
  <si>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</si>
  <si>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</si>
  <si>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</si>
  <si>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</si>
  <si>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Nasi dan campuran bihun, rasa daging sapi, disiapkan dengan 80% margarin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</si>
  <si>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</si>
  <si>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</si>
  <si>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</si>
  <si>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</si>
  <si>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Salad kentang dengan telur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</si>
  <si>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</si>
  <si>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</si>
  <si>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</si>
  <si>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</si>
  <si>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Spaghettios, Spageti dengan Bakso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</si>
  <si>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</si>
  <si>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</si>
  <si>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</si>
  <si>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</si>
  <si>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beku, tanpa pemanis, tidak dipanaska</t>
    </r>
    <r>
      <rPr>
        <rFont val="sans-serif"/>
      </rPr>
      <t>n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</si>
  <si>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</si>
  <si>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</si>
  <si>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</si>
  <si>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</si>
  <si>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Apel, mentah, dengan kulit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</si>
  <si>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</si>
  <si>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</si>
  <si>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</si>
  <si>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</si>
  <si>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Alpukat, mentah, semua varietas komersial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</si>
  <si>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</si>
  <si>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</si>
  <si>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</si>
  <si>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</si>
  <si>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Buah delima, mentah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</si>
  <si>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</si>
  <si>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</si>
  <si>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</si>
  <si>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</si>
  <si>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Jambu biji, umum, menta</t>
    </r>
    <r>
      <rPr>
        <rFont val="sans-serif"/>
      </rPr>
      <t>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</si>
  <si>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</si>
  <si>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</si>
  <si>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</si>
  <si>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</si>
  <si>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Pepaya,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</si>
  <si>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</si>
  <si>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</si>
  <si>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</si>
  <si>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</si>
  <si>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Pir, mentah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</si>
  <si>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</si>
  <si>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</si>
  <si>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</si>
  <si>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</si>
  <si>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Pisang, menta</t>
    </r>
    <r>
      <rPr>
        <rFont val="sans-serif"/>
      </rPr>
      <t>h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</si>
  <si>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</si>
  <si>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</si>
  <si>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</si>
  <si>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</si>
  <si>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Salad buah, (nanas dan pepaya dan pisang dan jambu biji), tropis, kalengan, sirup berat, padatan dan cairan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</si>
  <si>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</si>
  <si>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</si>
  <si>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</si>
  <si>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</si>
  <si>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dengan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</si>
  <si>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</si>
  <si>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</si>
  <si>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</si>
  <si>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</si>
  <si>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r>
      <rPr>
        <rFont val="sans-serif"/>
        <b/>
        <color rgb="FF1155CC"/>
        <u/>
      </rPr>
      <t>Bayam spinacia, beku, cincang atau daun, dimasak, direbus, tiriskan, tanpa garam</t>
    </r>
  </si>
  <si>
    <t>DATA INNVENTARIS RADIO HYTERA</t>
  </si>
  <si>
    <t>No</t>
  </si>
  <si>
    <t>Nama</t>
  </si>
  <si>
    <t>Area Operasi</t>
  </si>
  <si>
    <t>Keterangan</t>
  </si>
  <si>
    <t xml:space="preserve">M.Saleh </t>
  </si>
  <si>
    <t>Rendalop</t>
  </si>
  <si>
    <t>Baik</t>
  </si>
  <si>
    <t>Rusdian</t>
  </si>
  <si>
    <t>Operasi</t>
  </si>
  <si>
    <t>Samam</t>
  </si>
  <si>
    <t>Room PNC</t>
  </si>
  <si>
    <t>PNC</t>
  </si>
  <si>
    <t>Hendra</t>
  </si>
  <si>
    <t>Ops. Depo</t>
  </si>
  <si>
    <t>Dadang</t>
  </si>
  <si>
    <t>Gudang</t>
  </si>
  <si>
    <t>1 Unit rusak</t>
  </si>
  <si>
    <t>Battery rusak</t>
  </si>
  <si>
    <t>Balikpapan, 12 Januari 2026</t>
  </si>
  <si>
    <t>TTD</t>
  </si>
  <si>
    <t>(DBM REODALOP)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</si>
</sst>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Times New Roman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Sans-serif"/>
    </font>
    <font>
      <b/>
      <color rgb="FF000000"/>
      <name val="Arial"/>
      <scheme val="minor"/>
    </font>
    <font>
      <b/>
      <color theme="1"/>
      <name val="Arial"/>
    </font>
    <font>
      <b/>
      <color rgb="FF222222"/>
      <name val="Sans-serif"/>
    </font>
    <font>
      <color rgb="FF000000"/>
      <name val="Sans-serif"/>
    </font>
    <font>
      <b/>
      <color rgb="FF000000"/>
      <name val="Sans-serif"/>
    </font>
    <font>
      <color rgb="FF222222"/>
      <name val="Sans-serif"/>
    </font>
    <font>
      <color rgb="FF222222"/>
      <name val="Arial"/>
    </font>
    <font>
      <b/>
      <color rgb="FF222222"/>
      <name val="Arial"/>
    </font>
    <font>
      <u/>
      <color rgb="FF0000FF"/>
    </font>
    <font>
      <b/>
      <u/>
      <color rgb="FF0000FF"/>
      <name val="Arial"/>
    </font>
    <font>
      <b/>
      <u/>
      <color rgb="FF0000FF"/>
      <name val="Sans-serif"/>
    </font>
    <font>
      <b/>
      <u/>
      <color rgb="FF0000FF"/>
      <name val="Sans-serif"/>
    </font>
    <font>
      <u/>
      <color rgb="FF0000FF"/>
      <name val="Sans-serif"/>
    </font>
    <font>
      <u/>
      <color rgb="FF0000FF"/>
      <name val="Sans-serif"/>
    </font>
    <font>
      <b/>
      <u/>
      <color rgb="FF0000FF"/>
      <name val="Sans-serif"/>
    </font>
    <font>
      <b/>
      <u/>
      <color rgb="FF0000FF"/>
      <name val="Sans-serif"/>
    </font>
    <font>
      <u/>
      <color rgb="FF0000FF"/>
      <name val="Sans-serif"/>
    </font>
    <font>
      <b/>
      <u/>
      <color rgb="FF0000FF"/>
      <name val="Sans-serif"/>
    </font>
    <font>
      <sz val="15.0"/>
      <color theme="1"/>
      <name val="Times New Roman"/>
    </font>
    <font>
      <u/>
      <color rgb="FF0000FF"/>
    </font>
    <font>
      <b/>
      <u/>
      <color rgb="FF0000FF"/>
      <name val="Arial"/>
    </font>
    <font>
      <b/>
      <u/>
      <color rgb="FF0000FF"/>
      <name val="Arial"/>
    </font>
    <font>
      <u/>
      <color rgb="FF1155CC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</font>
    <font>
      <u/>
      <color rgb="FF1155CC"/>
      <name val="Sans-serif"/>
    </font>
    <font>
      <u/>
      <color rgb="FF1155CC"/>
      <name val="Sans-serif"/>
    </font>
    <font>
      <b/>
      <u/>
      <color rgb="FF1155CC"/>
      <name val="Sans-serif"/>
    </font>
    <font/>
    <font>
      <b/>
      <u/>
      <color rgb="FF222222"/>
      <name val="Sans-serif"/>
    </font>
    <font>
      <b/>
      <u/>
      <color rgb="FF1155CC"/>
      <name val="Sans-serif"/>
    </font>
    <font>
      <u/>
      <color rgb="FF1155CC"/>
      <name val="Sans-serif"/>
    </font>
    <font>
      <b/>
      <u/>
      <color rgb="FF1155CC"/>
      <name val="Sans-serif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222222"/>
      <name val="Sans-serif"/>
    </font>
    <font>
      <b/>
      <u/>
      <color rgb="FF1155CC"/>
      <name val="Sans-serif"/>
    </font>
    <font>
      <sz val="12.0"/>
      <color theme="1"/>
      <name val="Times New Roman"/>
    </font>
    <font>
      <sz val="12.0"/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980000"/>
        <bgColor rgb="FF98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  <top style="medium">
        <color rgb="FF808080"/>
      </top>
      <bottom style="thin">
        <color rgb="FFA2A9B1"/>
      </bottom>
    </border>
    <border>
      <left style="thin">
        <color rgb="FFA2A9B1"/>
      </left>
      <top style="thin">
        <color rgb="FFA2A9B1"/>
      </top>
      <bottom style="thin">
        <color rgb="FFA2A9B1"/>
      </bottom>
    </border>
    <border>
      <top style="thin">
        <color rgb="FFA2A9B1"/>
      </top>
      <bottom style="thin">
        <color rgb="FFA2A9B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shrinkToFit="0" vertical="center" wrapText="1"/>
    </xf>
    <xf borderId="0" fillId="4" fontId="3" numFmtId="0" xfId="0" applyFill="1" applyFont="1"/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vertical="center" wrapText="1"/>
    </xf>
    <xf borderId="2" fillId="0" fontId="7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 shrinkToFit="0" vertical="center" wrapText="1"/>
    </xf>
    <xf borderId="2" fillId="5" fontId="8" numFmtId="0" xfId="0" applyAlignment="1" applyBorder="1" applyFill="1" applyFont="1">
      <alignment horizontal="center" readingOrder="0"/>
    </xf>
    <xf borderId="3" fillId="0" fontId="9" numFmtId="0" xfId="0" applyAlignment="1" applyBorder="1" applyFont="1">
      <alignment horizontal="left" readingOrder="0" shrinkToFit="0" vertical="center" wrapText="1"/>
    </xf>
    <xf borderId="2" fillId="6" fontId="8" numFmtId="4" xfId="0" applyAlignment="1" applyBorder="1" applyFill="1" applyFont="1" applyNumberFormat="1">
      <alignment horizontal="center" readingOrder="0"/>
    </xf>
    <xf borderId="2" fillId="0" fontId="9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0" fillId="3" fontId="3" numFmtId="0" xfId="0" applyFont="1"/>
    <xf borderId="2" fillId="3" fontId="10" numFmtId="0" xfId="0" applyAlignment="1" applyBorder="1" applyFont="1">
      <alignment horizontal="left" readingOrder="0" shrinkToFit="0" vertical="center" wrapText="1"/>
    </xf>
    <xf borderId="2" fillId="3" fontId="8" numFmtId="4" xfId="0" applyAlignment="1" applyBorder="1" applyFont="1" applyNumberFormat="1">
      <alignment horizontal="center" readingOrder="0"/>
    </xf>
    <xf borderId="2" fillId="3" fontId="11" numFmtId="0" xfId="0" applyAlignment="1" applyBorder="1" applyFont="1">
      <alignment horizontal="center"/>
    </xf>
    <xf borderId="2" fillId="3" fontId="9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readingOrder="0" shrinkToFit="0" vertical="center" wrapText="1"/>
    </xf>
    <xf borderId="0" fillId="7" fontId="3" numFmtId="0" xfId="0" applyFill="1" applyFont="1"/>
    <xf borderId="2" fillId="6" fontId="8" numFmtId="0" xfId="0" applyAlignment="1" applyBorder="1" applyFont="1">
      <alignment horizontal="center" readingOrder="0"/>
    </xf>
    <xf borderId="2" fillId="6" fontId="12" numFmtId="0" xfId="0" applyAlignment="1" applyBorder="1" applyFont="1">
      <alignment horizontal="center" readingOrder="0"/>
    </xf>
    <xf borderId="2" fillId="6" fontId="13" numFmtId="0" xfId="0" applyAlignment="1" applyBorder="1" applyFont="1">
      <alignment horizontal="center" readingOrder="0"/>
    </xf>
    <xf borderId="0" fillId="0" fontId="14" numFmtId="0" xfId="0" applyAlignment="1" applyFont="1">
      <alignment readingOrder="0"/>
    </xf>
    <xf borderId="2" fillId="0" fontId="15" numFmtId="0" xfId="0" applyAlignment="1" applyBorder="1" applyFont="1">
      <alignment horizontal="center" readingOrder="0" shrinkToFit="0" wrapText="0"/>
    </xf>
    <xf borderId="2" fillId="0" fontId="16" numFmtId="0" xfId="0" applyAlignment="1" applyBorder="1" applyFont="1">
      <alignment horizontal="center" readingOrder="0" shrinkToFit="0" wrapText="0"/>
    </xf>
    <xf borderId="2" fillId="0" fontId="17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/>
    </xf>
    <xf borderId="3" fillId="0" fontId="18" numFmtId="0" xfId="0" applyAlignment="1" applyBorder="1" applyFont="1">
      <alignment horizontal="left" readingOrder="0" vertical="top"/>
    </xf>
    <xf borderId="2" fillId="0" fontId="19" numFmtId="0" xfId="0" applyAlignment="1" applyBorder="1" applyFont="1">
      <alignment horizontal="left" readingOrder="0" vertical="top"/>
    </xf>
    <xf borderId="2" fillId="0" fontId="20" numFmtId="0" xfId="0" applyAlignment="1" applyBorder="1" applyFont="1">
      <alignment horizontal="left" readingOrder="0" vertical="top"/>
    </xf>
    <xf borderId="2" fillId="3" fontId="21" numFmtId="0" xfId="0" applyAlignment="1" applyBorder="1" applyFont="1">
      <alignment horizontal="left" readingOrder="0" vertical="top"/>
    </xf>
    <xf borderId="2" fillId="3" fontId="22" numFmtId="0" xfId="0" applyAlignment="1" applyBorder="1" applyFont="1">
      <alignment horizontal="left" readingOrder="0" vertical="top"/>
    </xf>
    <xf borderId="2" fillId="6" fontId="11" numFmtId="4" xfId="0" applyAlignment="1" applyBorder="1" applyFont="1" applyNumberFormat="1">
      <alignment horizontal="center" readingOrder="0"/>
    </xf>
    <xf borderId="3" fillId="0" fontId="23" numFmtId="0" xfId="0" applyAlignment="1" applyBorder="1" applyFont="1">
      <alignment horizontal="left" readingOrder="0" vertical="top"/>
    </xf>
    <xf borderId="2" fillId="6" fontId="11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horizontal="center" readingOrder="0" shrinkToFit="0" wrapText="0"/>
    </xf>
    <xf borderId="2" fillId="4" fontId="5" numFmtId="0" xfId="0" applyAlignment="1" applyBorder="1" applyFont="1">
      <alignment horizontal="center" readingOrder="0" shrinkToFit="0" wrapText="0"/>
    </xf>
    <xf borderId="0" fillId="4" fontId="5" numFmtId="0" xfId="0" applyAlignment="1" applyFont="1">
      <alignment horizontal="center" readingOrder="0" shrinkToFit="0" wrapText="0"/>
    </xf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2" fillId="2" fontId="26" numFmtId="0" xfId="0" applyAlignment="1" applyBorder="1" applyFont="1">
      <alignment horizontal="center" readingOrder="0" shrinkToFit="0" wrapText="0"/>
    </xf>
    <xf borderId="2" fillId="3" fontId="27" numFmtId="0" xfId="0" applyAlignment="1" applyBorder="1" applyFont="1">
      <alignment horizontal="center" readingOrder="0" shrinkToFit="0" wrapText="0"/>
    </xf>
    <xf borderId="0" fillId="0" fontId="28" numFmtId="0" xfId="0" applyAlignment="1" applyFont="1">
      <alignment shrinkToFit="0" wrapText="1"/>
    </xf>
    <xf borderId="2" fillId="2" fontId="29" numFmtId="0" xfId="0" applyAlignment="1" applyBorder="1" applyFont="1">
      <alignment horizontal="center" shrinkToFit="0" wrapText="1"/>
    </xf>
    <xf borderId="2" fillId="3" fontId="30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2" fillId="2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vertical="bottom"/>
    </xf>
    <xf borderId="2" fillId="5" fontId="8" numFmtId="0" xfId="0" applyAlignment="1" applyBorder="1" applyFont="1">
      <alignment horizontal="center" vertical="bottom"/>
    </xf>
    <xf borderId="2" fillId="5" fontId="13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2" fillId="5" fontId="13" numFmtId="0" xfId="0" applyAlignment="1" applyBorder="1" applyFont="1">
      <alignment horizontal="center" readingOrder="0"/>
    </xf>
    <xf borderId="4" fillId="5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4" fillId="5" fontId="13" numFmtId="0" xfId="0" applyAlignment="1" applyBorder="1" applyFont="1">
      <alignment horizontal="center" vertical="bottom"/>
    </xf>
    <xf borderId="3" fillId="0" fontId="32" numFmtId="0" xfId="0" applyAlignment="1" applyBorder="1" applyFont="1">
      <alignment vertical="top"/>
    </xf>
    <xf borderId="2" fillId="6" fontId="8" numFmtId="0" xfId="0" applyAlignment="1" applyBorder="1" applyFont="1">
      <alignment horizontal="center" vertical="bottom"/>
    </xf>
    <xf borderId="0" fillId="6" fontId="8" numFmtId="0" xfId="0" applyAlignment="1" applyFont="1">
      <alignment horizontal="center" vertical="bottom"/>
    </xf>
    <xf borderId="4" fillId="6" fontId="8" numFmtId="0" xfId="0" applyAlignment="1" applyBorder="1" applyFont="1">
      <alignment horizontal="center" readingOrder="0"/>
    </xf>
    <xf borderId="4" fillId="6" fontId="8" numFmtId="0" xfId="0" applyAlignment="1" applyBorder="1" applyFont="1">
      <alignment horizontal="center" vertical="bottom"/>
    </xf>
    <xf borderId="2" fillId="0" fontId="33" numFmtId="0" xfId="0" applyAlignment="1" applyBorder="1" applyFont="1">
      <alignment vertical="top"/>
    </xf>
    <xf borderId="2" fillId="0" fontId="34" numFmtId="0" xfId="0" applyAlignment="1" applyBorder="1" applyFont="1">
      <alignment vertical="top"/>
    </xf>
    <xf borderId="5" fillId="0" fontId="35" numFmtId="0" xfId="0" applyBorder="1" applyFont="1"/>
    <xf borderId="0" fillId="6" fontId="36" numFmtId="0" xfId="0" applyAlignment="1" applyFont="1">
      <alignment horizontal="center" vertical="bottom"/>
    </xf>
    <xf borderId="2" fillId="3" fontId="37" numFmtId="0" xfId="0" applyAlignment="1" applyBorder="1" applyFont="1">
      <alignment vertical="top"/>
    </xf>
    <xf borderId="2" fillId="3" fontId="38" numFmtId="0" xfId="0" applyAlignment="1" applyBorder="1" applyFont="1">
      <alignment vertical="top"/>
    </xf>
    <xf borderId="3" fillId="0" fontId="39" numFmtId="0" xfId="0" applyAlignment="1" applyBorder="1" applyFont="1">
      <alignment vertical="top"/>
    </xf>
    <xf borderId="0" fillId="0" fontId="3" numFmtId="0" xfId="0" applyFont="1"/>
    <xf borderId="2" fillId="2" fontId="40" numFmtId="0" xfId="0" applyAlignment="1" applyBorder="1" applyFont="1">
      <alignment horizontal="center" readingOrder="0" shrinkToFit="0" wrapText="1"/>
    </xf>
    <xf borderId="2" fillId="3" fontId="41" numFmtId="0" xfId="0" applyAlignment="1" applyBorder="1" applyFont="1">
      <alignment horizontal="center" readingOrder="0" shrinkToFit="0" wrapText="1"/>
    </xf>
    <xf borderId="2" fillId="2" fontId="42" numFmtId="0" xfId="0" applyAlignment="1" applyBorder="1" applyFont="1">
      <alignment horizontal="center" readingOrder="0" shrinkToFit="0" vertical="center" wrapText="1"/>
    </xf>
    <xf borderId="2" fillId="3" fontId="43" numFmtId="0" xfId="0" applyAlignment="1" applyBorder="1" applyFont="1">
      <alignment horizontal="center" readingOrder="0" shrinkToFit="0" vertical="center" wrapText="1"/>
    </xf>
    <xf borderId="0" fillId="6" fontId="8" numFmtId="0" xfId="0" applyAlignment="1" applyFont="1">
      <alignment horizontal="center" readingOrder="0"/>
    </xf>
    <xf borderId="0" fillId="0" fontId="44" numFmtId="0" xfId="0" applyAlignment="1" applyFont="1">
      <alignment horizontal="center" readingOrder="0"/>
    </xf>
    <xf borderId="0" fillId="0" fontId="45" numFmtId="0" xfId="0" applyAlignment="1" applyFont="1">
      <alignment vertical="top"/>
    </xf>
    <xf borderId="0" fillId="0" fontId="46" numFmtId="0" xfId="0" applyAlignment="1" applyFont="1">
      <alignment horizontal="center" readingOrder="0" vertical="center"/>
    </xf>
    <xf borderId="0" fillId="0" fontId="46" numFmtId="0" xfId="0" applyFont="1"/>
    <xf borderId="1" fillId="0" fontId="46" numFmtId="0" xfId="0" applyAlignment="1" applyBorder="1" applyFont="1">
      <alignment horizontal="center" readingOrder="0" vertical="center"/>
    </xf>
    <xf borderId="6" fillId="0" fontId="46" numFmtId="0" xfId="0" applyAlignment="1" applyBorder="1" applyFont="1">
      <alignment horizontal="center" readingOrder="0" vertical="center"/>
    </xf>
    <xf borderId="7" fillId="0" fontId="35" numFmtId="0" xfId="0" applyBorder="1" applyFont="1"/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 shrinkToFit="0" vertical="bottom" wrapText="0"/>
    </xf>
    <xf borderId="0" fillId="0" fontId="47" numFmtId="0" xfId="0" applyAlignment="1" applyFont="1">
      <alignment shrinkToFit="0" vertical="bottom" wrapText="0"/>
    </xf>
    <xf borderId="0" fillId="0" fontId="47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drafarm.com/_andra.php?_i=daftar-tkpi&amp;kmakan=CP011" TargetMode="External"/><Relationship Id="rId42" Type="http://schemas.openxmlformats.org/officeDocument/2006/relationships/hyperlink" Target="https://www.andrafarm.com/_andra.php?_i=daftar-tkpi&amp;kmakan=CP025" TargetMode="External"/><Relationship Id="rId41" Type="http://schemas.openxmlformats.org/officeDocument/2006/relationships/hyperlink" Target="https://www.andrafarm.com/_andra.php?_i=daftar-tkpi&amp;kmakan=CP023" TargetMode="External"/><Relationship Id="rId44" Type="http://schemas.openxmlformats.org/officeDocument/2006/relationships/hyperlink" Target="https://www.andrafarm.com/_andra.php?_i=daftar-tkpi&amp;kmakan=CP046" TargetMode="External"/><Relationship Id="rId43" Type="http://schemas.openxmlformats.org/officeDocument/2006/relationships/hyperlink" Target="https://www.andrafarm.com/_andra.php?_i=daftar-tkpi&amp;kmakan=CP036" TargetMode="External"/><Relationship Id="rId46" Type="http://schemas.openxmlformats.org/officeDocument/2006/relationships/hyperlink" Target="https://www.andrafarm.com/_andra.php?_i=daftar-tkpi&amp;kmakan=CP058" TargetMode="External"/><Relationship Id="rId45" Type="http://schemas.openxmlformats.org/officeDocument/2006/relationships/hyperlink" Target="https://www.andrafarm.com/_andra.php?_i=daftar-tkpi&amp;kmakan=CP050" TargetMode="External"/><Relationship Id="rId1" Type="http://schemas.openxmlformats.org/officeDocument/2006/relationships/hyperlink" Target="https://www.andrafarm.com/_andra.php?_i=daftar-tkpi&amp;jobs=&amp;perhal=40&amp;sby=&amp;knama=&amp;asc=0010000000&amp;urut=2" TargetMode="External"/><Relationship Id="rId2" Type="http://schemas.openxmlformats.org/officeDocument/2006/relationships/hyperlink" Target="https://www.andrafarm.com/_andra.php?_i=daftar-tkpi&amp;jobs=&amp;perhal=40&amp;sby=&amp;knama=&amp;asc=0000100000&amp;urut=4" TargetMode="External"/><Relationship Id="rId3" Type="http://schemas.openxmlformats.org/officeDocument/2006/relationships/hyperlink" Target="https://www.andrafarm.com/_andra.php?_i=daftar-tkpi&amp;jobs=&amp;perhal=40&amp;sby=&amp;knama=&amp;asc=0000010000&amp;urut=5" TargetMode="External"/><Relationship Id="rId4" Type="http://schemas.openxmlformats.org/officeDocument/2006/relationships/hyperlink" Target="https://www.andrafarm.com/_andra.php?_i=daftar-tkpi&amp;jobs=&amp;perhal=40&amp;sby=&amp;knama=&amp;asc=0000001000&amp;urut=6" TargetMode="External"/><Relationship Id="rId9" Type="http://schemas.openxmlformats.org/officeDocument/2006/relationships/hyperlink" Target="https://www.andrafarm.com/_andra.php?_i=daftar-tkpi&amp;jobs=&amp;perhal=40&amp;sby=&amp;knama=&amp;asc=0100000000&amp;urut=11" TargetMode="External"/><Relationship Id="rId48" Type="http://schemas.openxmlformats.org/officeDocument/2006/relationships/hyperlink" Target="https://www.andrafarm.com/_andra.php?_i=daftar-tkpi&amp;kmakan=CP062" TargetMode="External"/><Relationship Id="rId47" Type="http://schemas.openxmlformats.org/officeDocument/2006/relationships/hyperlink" Target="https://www.andrafarm.com/_andra.php?_i=daftar-tkpi&amp;kmakan=CP060" TargetMode="External"/><Relationship Id="rId49" Type="http://schemas.openxmlformats.org/officeDocument/2006/relationships/hyperlink" Target="https://www.andrafarm.com/_andra.php?_i=daftar-tkpi&amp;kmakan=CP063" TargetMode="External"/><Relationship Id="rId5" Type="http://schemas.openxmlformats.org/officeDocument/2006/relationships/hyperlink" Target="https://www.andrafarm.com/_andra.php?_i=daftar-tkpi&amp;jobs=&amp;perhal=40&amp;sby=&amp;knama=&amp;asc=0000000100&amp;urut=7" TargetMode="External"/><Relationship Id="rId6" Type="http://schemas.openxmlformats.org/officeDocument/2006/relationships/hyperlink" Target="https://www.andrafarm.com/_andra.php?_i=daftar-tkpi&amp;jobs=&amp;perhal=40&amp;sby=&amp;knama=&amp;asc=0000000010&amp;urut=8" TargetMode="External"/><Relationship Id="rId7" Type="http://schemas.openxmlformats.org/officeDocument/2006/relationships/hyperlink" Target="https://www.andrafarm.com/_andra.php?_i=daftar-tkpi&amp;jobs=&amp;perhal=40&amp;sby=&amp;knama=&amp;asc=0000000001&amp;urut=9" TargetMode="External"/><Relationship Id="rId8" Type="http://schemas.openxmlformats.org/officeDocument/2006/relationships/hyperlink" Target="https://www.andrafarm.com/_andra.php?_i=daftar-tkpi&amp;jobs=&amp;perhal=40&amp;sby=&amp;knama=&amp;asc=1000000000&amp;urut=10" TargetMode="External"/><Relationship Id="rId73" Type="http://schemas.openxmlformats.org/officeDocument/2006/relationships/hyperlink" Target="https://www.andrafarm.com/_andra.php?_i=daftar-usda&amp;kmakan=09226" TargetMode="External"/><Relationship Id="rId72" Type="http://schemas.openxmlformats.org/officeDocument/2006/relationships/hyperlink" Target="https://www.andrafarm.com/_andra.php?_i=daftar-usda&amp;kmakan=09139" TargetMode="External"/><Relationship Id="rId31" Type="http://schemas.openxmlformats.org/officeDocument/2006/relationships/hyperlink" Target="https://www.andrafarm.com/_andra.php?_i=daftar-tkpi&amp;kmakan=BP045" TargetMode="External"/><Relationship Id="rId75" Type="http://schemas.openxmlformats.org/officeDocument/2006/relationships/hyperlink" Target="https://www.andrafarm.com/_andra.php?_i=daftar-usda&amp;kmakan=09040" TargetMode="External"/><Relationship Id="rId30" Type="http://schemas.openxmlformats.org/officeDocument/2006/relationships/hyperlink" Target="https://www.andrafarm.com/_andra.php?_i=daftar-tkpi&amp;kmakan=BP040" TargetMode="External"/><Relationship Id="rId74" Type="http://schemas.openxmlformats.org/officeDocument/2006/relationships/hyperlink" Target="https://www.andrafarm.com/_andra.php?_i=daftar-usda&amp;kmakan=09252" TargetMode="External"/><Relationship Id="rId33" Type="http://schemas.openxmlformats.org/officeDocument/2006/relationships/hyperlink" Target="https://www.andrafarm.com/_andra.php?_i=daftar-tkpi&amp;kmakan=BP054" TargetMode="External"/><Relationship Id="rId77" Type="http://schemas.openxmlformats.org/officeDocument/2006/relationships/hyperlink" Target="https://www.andrafarm.com/_andra.php?_i=daftar-usda&amp;kmakan=11856" TargetMode="External"/><Relationship Id="rId32" Type="http://schemas.openxmlformats.org/officeDocument/2006/relationships/hyperlink" Target="https://www.andrafarm.com/_andra.php?_i=daftar-tkpi&amp;kmakan=BP047" TargetMode="External"/><Relationship Id="rId76" Type="http://schemas.openxmlformats.org/officeDocument/2006/relationships/hyperlink" Target="https://www.andrafarm.com/_andra.php?_i=daftar-usda&amp;kmakan=09325" TargetMode="External"/><Relationship Id="rId35" Type="http://schemas.openxmlformats.org/officeDocument/2006/relationships/hyperlink" Target="https://www.andrafarm.com/_andra.php?_i=daftar-tkpi&amp;kmakan=CP006" TargetMode="External"/><Relationship Id="rId79" Type="http://schemas.openxmlformats.org/officeDocument/2006/relationships/drawing" Target="../drawings/drawing3.xml"/><Relationship Id="rId34" Type="http://schemas.openxmlformats.org/officeDocument/2006/relationships/hyperlink" Target="https://www.andrafarm.com/_andra.php?_i=daftar-tkpi&amp;kmakan=CP005" TargetMode="External"/><Relationship Id="rId78" Type="http://schemas.openxmlformats.org/officeDocument/2006/relationships/hyperlink" Target="https://www.andrafarm.com/_andra.php?_i=daftar-usda&amp;kmakan=11464" TargetMode="External"/><Relationship Id="rId71" Type="http://schemas.openxmlformats.org/officeDocument/2006/relationships/hyperlink" Target="https://www.andrafarm.com/_andra.php?_i=daftar-usda&amp;kmakan=09286" TargetMode="External"/><Relationship Id="rId70" Type="http://schemas.openxmlformats.org/officeDocument/2006/relationships/hyperlink" Target="https://www.andrafarm.com/_andra.php?_i=daftar-usda&amp;kmakan=09037" TargetMode="External"/><Relationship Id="rId37" Type="http://schemas.openxmlformats.org/officeDocument/2006/relationships/hyperlink" Target="https://www.andrafarm.com/_andra.php?_i=daftar-tkpi&amp;kmakan=CP008" TargetMode="External"/><Relationship Id="rId36" Type="http://schemas.openxmlformats.org/officeDocument/2006/relationships/hyperlink" Target="https://www.andrafarm.com/_andra.php?_i=daftar-tkpi&amp;kmakan=CP007" TargetMode="External"/><Relationship Id="rId39" Type="http://schemas.openxmlformats.org/officeDocument/2006/relationships/hyperlink" Target="https://www.andrafarm.com/_andra.php?_i=daftar-tkpi&amp;kmakan=CP010" TargetMode="External"/><Relationship Id="rId38" Type="http://schemas.openxmlformats.org/officeDocument/2006/relationships/hyperlink" Target="https://www.andrafarm.com/_andra.php?_i=daftar-tkpi&amp;kmakan=CP009" TargetMode="External"/><Relationship Id="rId62" Type="http://schemas.openxmlformats.org/officeDocument/2006/relationships/hyperlink" Target="https://www.andrafarm.com/_andra.php?_i=daftar-usda&amp;jobs=&amp;perhal=40&amp;sby=&amp;knama=2200&amp;asc=0000010000&amp;urut=15" TargetMode="External"/><Relationship Id="rId61" Type="http://schemas.openxmlformats.org/officeDocument/2006/relationships/hyperlink" Target="https://www.andrafarm.com/_andra.php?_i=daftar-usda&amp;jobs=&amp;perhal=40&amp;sby=&amp;knama=2200&amp;asc=0000100000&amp;urut=14" TargetMode="External"/><Relationship Id="rId20" Type="http://schemas.openxmlformats.org/officeDocument/2006/relationships/hyperlink" Target="https://www.andrafarm.com/_andra.php?_i=daftar-tkpi&amp;kmakan=BP002" TargetMode="External"/><Relationship Id="rId64" Type="http://schemas.openxmlformats.org/officeDocument/2006/relationships/hyperlink" Target="https://www.andrafarm.com/_andra.php?_i=daftar-usda&amp;jobs=&amp;perhal=40&amp;sby=&amp;knama=2200&amp;asc=0000000100&amp;urut=17" TargetMode="External"/><Relationship Id="rId63" Type="http://schemas.openxmlformats.org/officeDocument/2006/relationships/hyperlink" Target="https://www.andrafarm.com/_andra.php?_i=daftar-usda&amp;jobs=&amp;perhal=40&amp;sby=&amp;knama=2200&amp;asc=0000001000&amp;urut=16" TargetMode="External"/><Relationship Id="rId22" Type="http://schemas.openxmlformats.org/officeDocument/2006/relationships/hyperlink" Target="https://www.andrafarm.com/_andra.php?_i=daftar-tkpi&amp;kmakan=BP004" TargetMode="External"/><Relationship Id="rId66" Type="http://schemas.openxmlformats.org/officeDocument/2006/relationships/hyperlink" Target="https://www.andrafarm.com/_andra.php?_i=daftar-usda&amp;kmakan=22971" TargetMode="External"/><Relationship Id="rId21" Type="http://schemas.openxmlformats.org/officeDocument/2006/relationships/hyperlink" Target="https://www.andrafarm.com/_andra.php?_i=daftar-tkpi&amp;kmakan=BP003" TargetMode="External"/><Relationship Id="rId65" Type="http://schemas.openxmlformats.org/officeDocument/2006/relationships/hyperlink" Target="https://www.andrafarm.com/_andra.php?_i=daftar-usda&amp;kmakan=32001" TargetMode="External"/><Relationship Id="rId24" Type="http://schemas.openxmlformats.org/officeDocument/2006/relationships/hyperlink" Target="https://www.andrafarm.com/_andra.php?_i=daftar-tkpi&amp;kmakan=BP011" TargetMode="External"/><Relationship Id="rId68" Type="http://schemas.openxmlformats.org/officeDocument/2006/relationships/hyperlink" Target="https://www.andrafarm.com/_andra.php?_i=daftar-usda&amp;kmakan=09014" TargetMode="External"/><Relationship Id="rId23" Type="http://schemas.openxmlformats.org/officeDocument/2006/relationships/hyperlink" Target="https://www.andrafarm.com/_andra.php?_i=daftar-tkpi&amp;kmakan=BP008" TargetMode="External"/><Relationship Id="rId67" Type="http://schemas.openxmlformats.org/officeDocument/2006/relationships/hyperlink" Target="https://www.andrafarm.com/_andra.php?_i=daftar-usda&amp;kmakan=22940" TargetMode="External"/><Relationship Id="rId60" Type="http://schemas.openxmlformats.org/officeDocument/2006/relationships/hyperlink" Target="https://www.andrafarm.com/_andra.php?_i=daftar-usda&amp;jobs=&amp;perhal=40&amp;sby=&amp;knama=2200&amp;asc=0001000000&amp;urut=13" TargetMode="External"/><Relationship Id="rId26" Type="http://schemas.openxmlformats.org/officeDocument/2006/relationships/hyperlink" Target="https://www.andrafarm.com/_andra.php?_i=daftar-tkpi&amp;kmakan=BR030" TargetMode="External"/><Relationship Id="rId25" Type="http://schemas.openxmlformats.org/officeDocument/2006/relationships/hyperlink" Target="https://www.andrafarm.com/_andra.php?_i=daftar-tkpi&amp;kmakan=BP012" TargetMode="External"/><Relationship Id="rId69" Type="http://schemas.openxmlformats.org/officeDocument/2006/relationships/hyperlink" Target="https://www.andrafarm.com/_andra.php?_i=daftar-usda&amp;kmakan=09003" TargetMode="External"/><Relationship Id="rId28" Type="http://schemas.openxmlformats.org/officeDocument/2006/relationships/hyperlink" Target="https://www.andrafarm.com/_andra.php?_i=daftar-tkpi&amp;kmakan=BP036" TargetMode="External"/><Relationship Id="rId27" Type="http://schemas.openxmlformats.org/officeDocument/2006/relationships/hyperlink" Target="https://www.andrafarm.com/_andra.php?_i=daftar-tkpi&amp;kmakan=BR031" TargetMode="External"/><Relationship Id="rId29" Type="http://schemas.openxmlformats.org/officeDocument/2006/relationships/hyperlink" Target="https://www.andrafarm.com/_andra.php?_i=daftar-tkpi&amp;kmakan=BP039" TargetMode="External"/><Relationship Id="rId51" Type="http://schemas.openxmlformats.org/officeDocument/2006/relationships/hyperlink" Target="https://www.andrafarm.com/_andra.php?_i=daftar-usda&amp;jobs=&amp;perhal=40&amp;sby=&amp;knama=2200&amp;asc=0000100000&amp;urut=4" TargetMode="External"/><Relationship Id="rId50" Type="http://schemas.openxmlformats.org/officeDocument/2006/relationships/hyperlink" Target="https://www.andrafarm.com/_andra.php?_i=daftar-tkpi&amp;kmakan=CP083" TargetMode="External"/><Relationship Id="rId53" Type="http://schemas.openxmlformats.org/officeDocument/2006/relationships/hyperlink" Target="https://www.andrafarm.com/_andra.php?_i=daftar-usda&amp;jobs=&amp;perhal=40&amp;sby=&amp;knama=2200&amp;asc=0000001000&amp;urut=6" TargetMode="External"/><Relationship Id="rId52" Type="http://schemas.openxmlformats.org/officeDocument/2006/relationships/hyperlink" Target="https://www.andrafarm.com/_andra.php?_i=daftar-usda&amp;jobs=&amp;perhal=40&amp;sby=&amp;knama=2200&amp;asc=0000010000&amp;urut=5" TargetMode="External"/><Relationship Id="rId11" Type="http://schemas.openxmlformats.org/officeDocument/2006/relationships/hyperlink" Target="https://www.andrafarm.com/_andra.php?_i=daftar-tkpi&amp;jobs=&amp;perhal=40&amp;sby=&amp;knama=&amp;asc=0001000000&amp;urut=13" TargetMode="External"/><Relationship Id="rId55" Type="http://schemas.openxmlformats.org/officeDocument/2006/relationships/hyperlink" Target="https://www.andrafarm.com/_andra.php?_i=daftar-usda&amp;jobs=&amp;perhal=40&amp;sby=&amp;knama=2200&amp;asc=0000000010&amp;urut=8" TargetMode="External"/><Relationship Id="rId10" Type="http://schemas.openxmlformats.org/officeDocument/2006/relationships/hyperlink" Target="https://www.andrafarm.com/_andra.php?_i=daftar-tkpi&amp;jobs=&amp;perhal=40&amp;sby=&amp;knama=&amp;asc=0010000000&amp;urut=12" TargetMode="External"/><Relationship Id="rId54" Type="http://schemas.openxmlformats.org/officeDocument/2006/relationships/hyperlink" Target="https://www.andrafarm.com/_andra.php?_i=daftar-usda&amp;jobs=&amp;perhal=40&amp;sby=&amp;knama=2200&amp;asc=0000000100&amp;urut=7" TargetMode="External"/><Relationship Id="rId13" Type="http://schemas.openxmlformats.org/officeDocument/2006/relationships/hyperlink" Target="https://www.andrafarm.com/_andra.php?_i=daftar-tkpi&amp;kmakan=AP001" TargetMode="External"/><Relationship Id="rId57" Type="http://schemas.openxmlformats.org/officeDocument/2006/relationships/hyperlink" Target="https://www.andrafarm.com/_andra.php?_i=daftar-usda&amp;jobs=&amp;perhal=40&amp;sby=&amp;knama=2200&amp;asc=1000000000&amp;urut=10" TargetMode="External"/><Relationship Id="rId12" Type="http://schemas.openxmlformats.org/officeDocument/2006/relationships/hyperlink" Target="https://www.andrafarm.com/_andra.php?_i=daftar-tkpi&amp;jobs=&amp;perhal=40&amp;sby=&amp;knama=&amp;asc=0000100000&amp;urut=14" TargetMode="External"/><Relationship Id="rId56" Type="http://schemas.openxmlformats.org/officeDocument/2006/relationships/hyperlink" Target="https://www.andrafarm.com/_andra.php?_i=daftar-usda&amp;jobs=&amp;perhal=40&amp;sby=&amp;knama=2200&amp;asc=0000000001&amp;urut=9" TargetMode="External"/><Relationship Id="rId15" Type="http://schemas.openxmlformats.org/officeDocument/2006/relationships/hyperlink" Target="https://www.andrafarm.com/_andra.php?_i=daftar-tkpi&amp;kmakan=AP040" TargetMode="External"/><Relationship Id="rId59" Type="http://schemas.openxmlformats.org/officeDocument/2006/relationships/hyperlink" Target="https://www.andrafarm.com/_andra.php?_i=daftar-usda&amp;jobs=&amp;perhal=40&amp;sby=&amp;knama=2200&amp;asc=0010000000&amp;urut=12" TargetMode="External"/><Relationship Id="rId14" Type="http://schemas.openxmlformats.org/officeDocument/2006/relationships/hyperlink" Target="https://www.andrafarm.com/_andra.php?_i=daftar-tkpi&amp;kmakan=AP029" TargetMode="External"/><Relationship Id="rId58" Type="http://schemas.openxmlformats.org/officeDocument/2006/relationships/hyperlink" Target="https://www.andrafarm.com/_andra.php?_i=daftar-usda&amp;jobs=&amp;perhal=40&amp;sby=&amp;knama=2200&amp;asc=0100000000&amp;urut=11" TargetMode="External"/><Relationship Id="rId17" Type="http://schemas.openxmlformats.org/officeDocument/2006/relationships/hyperlink" Target="https://www.andrafarm.com/_andra.php?_i=daftar-tkpi&amp;kmakan=AR001" TargetMode="External"/><Relationship Id="rId16" Type="http://schemas.openxmlformats.org/officeDocument/2006/relationships/hyperlink" Target="https://www.andrafarm.com/_andra.php?_i=daftar-tkpi&amp;kmakan=AP086" TargetMode="External"/><Relationship Id="rId19" Type="http://schemas.openxmlformats.org/officeDocument/2006/relationships/hyperlink" Target="https://www.andrafarm.com/_andra.php?_i=daftar-tkpi&amp;kmakan=BP001" TargetMode="External"/><Relationship Id="rId18" Type="http://schemas.openxmlformats.org/officeDocument/2006/relationships/hyperlink" Target="https://www.andrafarm.com/_andra.php?_i=daftar-tkpi&amp;kmakan=AR005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drafarm.com/_andra.php?_i=daftar-tkpi&amp;kmakan=AP086" TargetMode="External"/><Relationship Id="rId42" Type="http://schemas.openxmlformats.org/officeDocument/2006/relationships/hyperlink" Target="https://www.andrafarm.com/_andra.php?_i=daftar-tkpi&amp;kmakan=AR001" TargetMode="External"/><Relationship Id="rId41" Type="http://schemas.openxmlformats.org/officeDocument/2006/relationships/hyperlink" Target="https://www.andrafarm.com/_andra.php?_i=daftar-tkpi&amp;kmakan=AR001" TargetMode="External"/><Relationship Id="rId44" Type="http://schemas.openxmlformats.org/officeDocument/2006/relationships/hyperlink" Target="https://www.andrafarm.com/_andra.php?_i=daftar-tkpi&amp;kmakan=AR001" TargetMode="External"/><Relationship Id="rId43" Type="http://schemas.openxmlformats.org/officeDocument/2006/relationships/hyperlink" Target="https://www.andrafarm.com/_andra.php?_i=daftar-tkpi&amp;kmakan=AR001" TargetMode="External"/><Relationship Id="rId46" Type="http://schemas.openxmlformats.org/officeDocument/2006/relationships/hyperlink" Target="https://www.andrafarm.com/_andra.php?_i=daftar-tkpi&amp;kmakan=BP036" TargetMode="External"/><Relationship Id="rId45" Type="http://schemas.openxmlformats.org/officeDocument/2006/relationships/hyperlink" Target="https://www.andrafarm.com/_andra.php?_i=daftar-tkpi&amp;kmakan=AR001" TargetMode="External"/><Relationship Id="rId107" Type="http://schemas.openxmlformats.org/officeDocument/2006/relationships/hyperlink" Target="https://www.andrafarm.com/_andra.php?_i=daftar-tkpi&amp;kmakan=BP039" TargetMode="External"/><Relationship Id="rId106" Type="http://schemas.openxmlformats.org/officeDocument/2006/relationships/hyperlink" Target="https://www.andrafarm.com/_andra.php?_i=daftar-tkpi&amp;kmakan=BP039" TargetMode="External"/><Relationship Id="rId105" Type="http://schemas.openxmlformats.org/officeDocument/2006/relationships/hyperlink" Target="https://www.andrafarm.com/_andra.php?_i=daftar-tkpi&amp;kmakan=BP039" TargetMode="External"/><Relationship Id="rId104" Type="http://schemas.openxmlformats.org/officeDocument/2006/relationships/hyperlink" Target="https://www.andrafarm.com/_andra.php?_i=daftar-tkpi&amp;kmakan=BP036" TargetMode="External"/><Relationship Id="rId109" Type="http://schemas.openxmlformats.org/officeDocument/2006/relationships/hyperlink" Target="https://www.andrafarm.com/_andra.php?_i=daftar-tkpi&amp;kmakan=BP039" TargetMode="External"/><Relationship Id="rId108" Type="http://schemas.openxmlformats.org/officeDocument/2006/relationships/hyperlink" Target="https://www.andrafarm.com/_andra.php?_i=daftar-tkpi&amp;kmakan=BP039" TargetMode="External"/><Relationship Id="rId48" Type="http://schemas.openxmlformats.org/officeDocument/2006/relationships/hyperlink" Target="https://www.andrafarm.com/_andra.php?_i=daftar-tkpi&amp;kmakan=AR005" TargetMode="External"/><Relationship Id="rId47" Type="http://schemas.openxmlformats.org/officeDocument/2006/relationships/hyperlink" Target="https://www.andrafarm.com/_andra.php?_i=daftar-tkpi&amp;kmakan=AR005" TargetMode="External"/><Relationship Id="rId49" Type="http://schemas.openxmlformats.org/officeDocument/2006/relationships/hyperlink" Target="https://www.andrafarm.com/_andra.php?_i=daftar-tkpi&amp;kmakan=AR005" TargetMode="External"/><Relationship Id="rId103" Type="http://schemas.openxmlformats.org/officeDocument/2006/relationships/hyperlink" Target="https://www.andrafarm.com/_andra.php?_i=daftar-tkpi&amp;kmakan=BP036" TargetMode="External"/><Relationship Id="rId102" Type="http://schemas.openxmlformats.org/officeDocument/2006/relationships/hyperlink" Target="https://www.andrafarm.com/_andra.php?_i=daftar-tkpi&amp;kmakan=BP036" TargetMode="External"/><Relationship Id="rId101" Type="http://schemas.openxmlformats.org/officeDocument/2006/relationships/hyperlink" Target="https://www.andrafarm.com/_andra.php?_i=daftar-tkpi&amp;kmakan=BP036" TargetMode="External"/><Relationship Id="rId100" Type="http://schemas.openxmlformats.org/officeDocument/2006/relationships/hyperlink" Target="https://www.andrafarm.com/_andra.php?_i=daftar-tkpi&amp;kmakan=BP036" TargetMode="External"/><Relationship Id="rId31" Type="http://schemas.openxmlformats.org/officeDocument/2006/relationships/hyperlink" Target="https://www.andrafarm.com/_andra.php?_i=daftar-tkpi&amp;kmakan=AP040" TargetMode="External"/><Relationship Id="rId30" Type="http://schemas.openxmlformats.org/officeDocument/2006/relationships/hyperlink" Target="https://www.andrafarm.com/_andra.php?_i=daftar-tkpi&amp;kmakan=AP029" TargetMode="External"/><Relationship Id="rId33" Type="http://schemas.openxmlformats.org/officeDocument/2006/relationships/hyperlink" Target="https://www.andrafarm.com/_andra.php?_i=daftar-tkpi&amp;kmakan=AP040" TargetMode="External"/><Relationship Id="rId32" Type="http://schemas.openxmlformats.org/officeDocument/2006/relationships/hyperlink" Target="https://www.andrafarm.com/_andra.php?_i=daftar-tkpi&amp;kmakan=AP040" TargetMode="External"/><Relationship Id="rId35" Type="http://schemas.openxmlformats.org/officeDocument/2006/relationships/hyperlink" Target="https://www.andrafarm.com/_andra.php?_i=daftar-tkpi&amp;kmakan=AP040" TargetMode="External"/><Relationship Id="rId34" Type="http://schemas.openxmlformats.org/officeDocument/2006/relationships/hyperlink" Target="https://www.andrafarm.com/_andra.php?_i=daftar-tkpi&amp;kmakan=AP040" TargetMode="External"/><Relationship Id="rId37" Type="http://schemas.openxmlformats.org/officeDocument/2006/relationships/hyperlink" Target="https://www.andrafarm.com/_andra.php?_i=daftar-tkpi&amp;kmakan=AP086" TargetMode="External"/><Relationship Id="rId36" Type="http://schemas.openxmlformats.org/officeDocument/2006/relationships/hyperlink" Target="https://www.andrafarm.com/_andra.php?_i=daftar-tkpi&amp;kmakan=AP086" TargetMode="External"/><Relationship Id="rId39" Type="http://schemas.openxmlformats.org/officeDocument/2006/relationships/hyperlink" Target="https://www.andrafarm.com/_andra.php?_i=daftar-tkpi&amp;kmakan=AP086" TargetMode="External"/><Relationship Id="rId38" Type="http://schemas.openxmlformats.org/officeDocument/2006/relationships/hyperlink" Target="https://www.andrafarm.com/_andra.php?_i=daftar-tkpi&amp;kmakan=AP086" TargetMode="External"/><Relationship Id="rId20" Type="http://schemas.openxmlformats.org/officeDocument/2006/relationships/hyperlink" Target="https://www.andrafarm.com/_andra.php?_i=daftar-tkpi&amp;jobs=&amp;perhal=40&amp;sby=&amp;knama=&amp;asc=0010000000&amp;urut=2" TargetMode="External"/><Relationship Id="rId22" Type="http://schemas.openxmlformats.org/officeDocument/2006/relationships/hyperlink" Target="https://www.andrafarm.com/_andra.php?_i=daftar-tkpi&amp;kmakan=AP001" TargetMode="External"/><Relationship Id="rId21" Type="http://schemas.openxmlformats.org/officeDocument/2006/relationships/hyperlink" Target="https://www.andrafarm.com/_andra.php?_i=daftar-tkpi&amp;kmakan=AP001" TargetMode="External"/><Relationship Id="rId24" Type="http://schemas.openxmlformats.org/officeDocument/2006/relationships/hyperlink" Target="https://www.andrafarm.com/_andra.php?_i=daftar-tkpi&amp;kmakan=AP001" TargetMode="External"/><Relationship Id="rId23" Type="http://schemas.openxmlformats.org/officeDocument/2006/relationships/hyperlink" Target="https://www.andrafarm.com/_andra.php?_i=daftar-tkpi&amp;kmakan=AP001" TargetMode="External"/><Relationship Id="rId129" Type="http://schemas.openxmlformats.org/officeDocument/2006/relationships/hyperlink" Target="https://www.andrafarm.com/_andra.php?_i=daftar-tkpi&amp;kmakan=BP054" TargetMode="External"/><Relationship Id="rId128" Type="http://schemas.openxmlformats.org/officeDocument/2006/relationships/hyperlink" Target="https://www.andrafarm.com/_andra.php?_i=daftar-tkpi&amp;kmakan=BP054" TargetMode="External"/><Relationship Id="rId127" Type="http://schemas.openxmlformats.org/officeDocument/2006/relationships/hyperlink" Target="https://www.andrafarm.com/_andra.php?_i=daftar-tkpi&amp;kmakan=BP054" TargetMode="External"/><Relationship Id="rId126" Type="http://schemas.openxmlformats.org/officeDocument/2006/relationships/hyperlink" Target="https://www.andrafarm.com/_andra.php?_i=daftar-tkpi&amp;kmakan=BP054" TargetMode="External"/><Relationship Id="rId26" Type="http://schemas.openxmlformats.org/officeDocument/2006/relationships/hyperlink" Target="https://www.andrafarm.com/_andra.php?_i=daftar-tkpi&amp;kmakan=AP029" TargetMode="External"/><Relationship Id="rId121" Type="http://schemas.openxmlformats.org/officeDocument/2006/relationships/hyperlink" Target="https://www.andrafarm.com/_andra.php?_i=daftar-tkpi&amp;kmakan=BP047" TargetMode="External"/><Relationship Id="rId25" Type="http://schemas.openxmlformats.org/officeDocument/2006/relationships/hyperlink" Target="https://www.andrafarm.com/_andra.php?_i=daftar-tkpi&amp;kmakan=AP001" TargetMode="External"/><Relationship Id="rId120" Type="http://schemas.openxmlformats.org/officeDocument/2006/relationships/hyperlink" Target="https://www.andrafarm.com/_andra.php?_i=daftar-tkpi&amp;kmakan=BP047" TargetMode="External"/><Relationship Id="rId28" Type="http://schemas.openxmlformats.org/officeDocument/2006/relationships/hyperlink" Target="https://www.andrafarm.com/_andra.php?_i=daftar-tkpi&amp;kmakan=AP029" TargetMode="External"/><Relationship Id="rId27" Type="http://schemas.openxmlformats.org/officeDocument/2006/relationships/hyperlink" Target="https://www.andrafarm.com/_andra.php?_i=daftar-tkpi&amp;kmakan=AP029" TargetMode="External"/><Relationship Id="rId125" Type="http://schemas.openxmlformats.org/officeDocument/2006/relationships/hyperlink" Target="https://www.andrafarm.com/_andra.php?_i=daftar-tkpi&amp;kmakan=BP054" TargetMode="External"/><Relationship Id="rId29" Type="http://schemas.openxmlformats.org/officeDocument/2006/relationships/hyperlink" Target="https://www.andrafarm.com/_andra.php?_i=daftar-tkpi&amp;kmakan=AP029" TargetMode="External"/><Relationship Id="rId124" Type="http://schemas.openxmlformats.org/officeDocument/2006/relationships/hyperlink" Target="https://www.andrafarm.com/_andra.php?_i=daftar-tkpi&amp;kmakan=BP047" TargetMode="External"/><Relationship Id="rId123" Type="http://schemas.openxmlformats.org/officeDocument/2006/relationships/hyperlink" Target="https://www.andrafarm.com/_andra.php?_i=daftar-tkpi&amp;kmakan=BP047" TargetMode="External"/><Relationship Id="rId122" Type="http://schemas.openxmlformats.org/officeDocument/2006/relationships/hyperlink" Target="https://www.andrafarm.com/_andra.php?_i=daftar-tkpi&amp;kmakan=BP047" TargetMode="External"/><Relationship Id="rId95" Type="http://schemas.openxmlformats.org/officeDocument/2006/relationships/hyperlink" Target="https://www.andrafarm.com/_andra.php?_i=daftar-tkpi&amp;kmakan=BR031" TargetMode="External"/><Relationship Id="rId94" Type="http://schemas.openxmlformats.org/officeDocument/2006/relationships/hyperlink" Target="https://www.andrafarm.com/_andra.php?_i=daftar-tkpi&amp;kmakan=BR030" TargetMode="External"/><Relationship Id="rId97" Type="http://schemas.openxmlformats.org/officeDocument/2006/relationships/hyperlink" Target="https://www.andrafarm.com/_andra.php?_i=daftar-tkpi&amp;kmakan=BR031" TargetMode="External"/><Relationship Id="rId96" Type="http://schemas.openxmlformats.org/officeDocument/2006/relationships/hyperlink" Target="https://www.andrafarm.com/_andra.php?_i=daftar-tkpi&amp;kmakan=BR031" TargetMode="External"/><Relationship Id="rId11" Type="http://schemas.openxmlformats.org/officeDocument/2006/relationships/hyperlink" Target="https://www.andrafarm.com/_andra.php?_i=daftar-tkpi&amp;jobs=&amp;perhal=40&amp;sby=&amp;knama=&amp;asc=0000000001&amp;urut=9" TargetMode="External"/><Relationship Id="rId99" Type="http://schemas.openxmlformats.org/officeDocument/2006/relationships/hyperlink" Target="https://www.andrafarm.com/_andra.php?_i=daftar-tkpi&amp;kmakan=BR031" TargetMode="External"/><Relationship Id="rId10" Type="http://schemas.openxmlformats.org/officeDocument/2006/relationships/hyperlink" Target="https://www.andrafarm.com/_andra.php?_i=daftar-tkpi&amp;jobs=&amp;perhal=40&amp;sby=&amp;knama=&amp;asc=0000000010&amp;urut=8" TargetMode="External"/><Relationship Id="rId98" Type="http://schemas.openxmlformats.org/officeDocument/2006/relationships/hyperlink" Target="https://www.andrafarm.com/_andra.php?_i=daftar-tkpi&amp;kmakan=BR031" TargetMode="External"/><Relationship Id="rId13" Type="http://schemas.openxmlformats.org/officeDocument/2006/relationships/hyperlink" Target="https://www.andrafarm.com/_andra.php?_i=daftar-tkpi&amp;jobs=&amp;perhal=40&amp;sby=&amp;knama=&amp;asc=0010000000&amp;urut=2" TargetMode="External"/><Relationship Id="rId12" Type="http://schemas.openxmlformats.org/officeDocument/2006/relationships/hyperlink" Target="https://www.andrafarm.com/_andra.php?_i=daftar-tkpi&amp;jobs=&amp;perhal=40&amp;sby=&amp;knama=&amp;asc=0000100000&amp;urut=14" TargetMode="External"/><Relationship Id="rId91" Type="http://schemas.openxmlformats.org/officeDocument/2006/relationships/hyperlink" Target="https://www.andrafarm.com/_andra.php?_i=daftar-tkpi&amp;kmakan=BR030" TargetMode="External"/><Relationship Id="rId90" Type="http://schemas.openxmlformats.org/officeDocument/2006/relationships/hyperlink" Target="https://www.andrafarm.com/_andra.php?_i=daftar-tkpi&amp;kmakan=BR030" TargetMode="External"/><Relationship Id="rId93" Type="http://schemas.openxmlformats.org/officeDocument/2006/relationships/hyperlink" Target="https://www.andrafarm.com/_andra.php?_i=daftar-tkpi&amp;kmakan=BR030" TargetMode="External"/><Relationship Id="rId92" Type="http://schemas.openxmlformats.org/officeDocument/2006/relationships/hyperlink" Target="https://www.andrafarm.com/_andra.php?_i=daftar-tkpi&amp;kmakan=BR030" TargetMode="External"/><Relationship Id="rId118" Type="http://schemas.openxmlformats.org/officeDocument/2006/relationships/hyperlink" Target="https://www.andrafarm.com/_andra.php?_i=daftar-tkpi&amp;kmakan=BP045" TargetMode="External"/><Relationship Id="rId117" Type="http://schemas.openxmlformats.org/officeDocument/2006/relationships/hyperlink" Target="https://www.andrafarm.com/_andra.php?_i=daftar-tkpi&amp;kmakan=BP045" TargetMode="External"/><Relationship Id="rId116" Type="http://schemas.openxmlformats.org/officeDocument/2006/relationships/hyperlink" Target="https://www.andrafarm.com/_andra.php?_i=daftar-tkpi&amp;kmakan=BP045" TargetMode="External"/><Relationship Id="rId115" Type="http://schemas.openxmlformats.org/officeDocument/2006/relationships/hyperlink" Target="https://www.andrafarm.com/_andra.php?_i=daftar-tkpi&amp;kmakan=BP045" TargetMode="External"/><Relationship Id="rId119" Type="http://schemas.openxmlformats.org/officeDocument/2006/relationships/hyperlink" Target="https://www.andrafarm.com/_andra.php?_i=daftar-tkpi&amp;kmakan=BP045" TargetMode="External"/><Relationship Id="rId15" Type="http://schemas.openxmlformats.org/officeDocument/2006/relationships/hyperlink" Target="https://www.andrafarm.com/_andra.php?_i=daftar-tkpi&amp;jobs=&amp;perhal=40&amp;sby=&amp;knama=&amp;asc=0000000100&amp;urut=7" TargetMode="External"/><Relationship Id="rId110" Type="http://schemas.openxmlformats.org/officeDocument/2006/relationships/hyperlink" Target="https://www.andrafarm.com/_andra.php?_i=daftar-tkpi&amp;kmakan=BP040" TargetMode="External"/><Relationship Id="rId14" Type="http://schemas.openxmlformats.org/officeDocument/2006/relationships/hyperlink" Target="https://www.andrafarm.com/_andra.php?_i=daftar-tkpi&amp;jobs=&amp;perhal=40&amp;sby=&amp;knama=&amp;asc=0000001000&amp;urut=6" TargetMode="External"/><Relationship Id="rId17" Type="http://schemas.openxmlformats.org/officeDocument/2006/relationships/hyperlink" Target="https://www.andrafarm.com/_andra.php?_i=daftar-tkpi&amp;jobs=&amp;perhal=40&amp;sby=&amp;knama=&amp;asc=0000000001&amp;urut=9" TargetMode="External"/><Relationship Id="rId16" Type="http://schemas.openxmlformats.org/officeDocument/2006/relationships/hyperlink" Target="https://www.andrafarm.com/_andra.php?_i=daftar-tkpi&amp;jobs=&amp;perhal=40&amp;sby=&amp;knama=&amp;asc=0000000010&amp;urut=8" TargetMode="External"/><Relationship Id="rId19" Type="http://schemas.openxmlformats.org/officeDocument/2006/relationships/hyperlink" Target="https://www.andrafarm.com/_andra.php?_i=daftar-tkpi&amp;jobs=&amp;perhal=40&amp;sby=&amp;knama=&amp;asc=0010000000&amp;urut=2" TargetMode="External"/><Relationship Id="rId114" Type="http://schemas.openxmlformats.org/officeDocument/2006/relationships/hyperlink" Target="https://www.andrafarm.com/_andra.php?_i=daftar-tkpi&amp;kmakan=BP040" TargetMode="External"/><Relationship Id="rId18" Type="http://schemas.openxmlformats.org/officeDocument/2006/relationships/hyperlink" Target="https://www.andrafarm.com/_andra.php?_i=daftar-tkpi&amp;jobs=&amp;perhal=40&amp;sby=&amp;knama=&amp;asc=0000100000&amp;urut=14" TargetMode="External"/><Relationship Id="rId113" Type="http://schemas.openxmlformats.org/officeDocument/2006/relationships/hyperlink" Target="https://www.andrafarm.com/_andra.php?_i=daftar-tkpi&amp;kmakan=BP040" TargetMode="External"/><Relationship Id="rId112" Type="http://schemas.openxmlformats.org/officeDocument/2006/relationships/hyperlink" Target="https://www.andrafarm.com/_andra.php?_i=daftar-tkpi&amp;kmakan=BP040" TargetMode="External"/><Relationship Id="rId111" Type="http://schemas.openxmlformats.org/officeDocument/2006/relationships/hyperlink" Target="https://www.andrafarm.com/_andra.php?_i=daftar-tkpi&amp;kmakan=BP040" TargetMode="External"/><Relationship Id="rId84" Type="http://schemas.openxmlformats.org/officeDocument/2006/relationships/hyperlink" Target="https://www.andrafarm.com/_andra.php?_i=daftar-tkpi&amp;kmakan=BP011" TargetMode="External"/><Relationship Id="rId83" Type="http://schemas.openxmlformats.org/officeDocument/2006/relationships/hyperlink" Target="https://www.andrafarm.com/_andra.php?_i=daftar-tkpi&amp;kmakan=BP011" TargetMode="External"/><Relationship Id="rId86" Type="http://schemas.openxmlformats.org/officeDocument/2006/relationships/hyperlink" Target="https://www.andrafarm.com/_andra.php?_i=daftar-tkpi&amp;kmakan=BP012" TargetMode="External"/><Relationship Id="rId85" Type="http://schemas.openxmlformats.org/officeDocument/2006/relationships/hyperlink" Target="https://www.andrafarm.com/_andra.php?_i=daftar-tkpi&amp;kmakan=BP012" TargetMode="External"/><Relationship Id="rId88" Type="http://schemas.openxmlformats.org/officeDocument/2006/relationships/hyperlink" Target="https://www.andrafarm.com/_andra.php?_i=daftar-tkpi&amp;kmakan=BP012" TargetMode="External"/><Relationship Id="rId87" Type="http://schemas.openxmlformats.org/officeDocument/2006/relationships/hyperlink" Target="https://www.andrafarm.com/_andra.php?_i=daftar-tkpi&amp;kmakan=BP012" TargetMode="External"/><Relationship Id="rId89" Type="http://schemas.openxmlformats.org/officeDocument/2006/relationships/hyperlink" Target="https://www.andrafarm.com/_andra.php?_i=daftar-tkpi&amp;kmakan=BP012" TargetMode="External"/><Relationship Id="rId80" Type="http://schemas.openxmlformats.org/officeDocument/2006/relationships/hyperlink" Target="https://www.andrafarm.com/_andra.php?_i=daftar-tkpi&amp;kmakan=BP011" TargetMode="External"/><Relationship Id="rId82" Type="http://schemas.openxmlformats.org/officeDocument/2006/relationships/hyperlink" Target="https://www.andrafarm.com/_andra.php?_i=daftar-tkpi&amp;kmakan=BP011" TargetMode="External"/><Relationship Id="rId81" Type="http://schemas.openxmlformats.org/officeDocument/2006/relationships/hyperlink" Target="https://www.andrafarm.com/_andra.php?_i=daftar-tkpi&amp;kmakan=BP011" TargetMode="External"/><Relationship Id="rId1" Type="http://schemas.openxmlformats.org/officeDocument/2006/relationships/hyperlink" Target="https://www.andrafarm.com/_andra.php?_i=daftar-tkpi&amp;jobs=&amp;perhal=40&amp;sby=&amp;knama=&amp;asc=0010000000&amp;urut=2" TargetMode="External"/><Relationship Id="rId2" Type="http://schemas.openxmlformats.org/officeDocument/2006/relationships/hyperlink" Target="https://www.andrafarm.com/_andra.php?_i=daftar-tkpi&amp;jobs=&amp;perhal=40&amp;sby=&amp;knama=&amp;asc=0000001000&amp;urut=6" TargetMode="External"/><Relationship Id="rId3" Type="http://schemas.openxmlformats.org/officeDocument/2006/relationships/hyperlink" Target="https://www.andrafarm.com/_andra.php?_i=daftar-tkpi&amp;jobs=&amp;perhal=40&amp;sby=&amp;knama=&amp;asc=0000000100&amp;urut=7" TargetMode="External"/><Relationship Id="rId4" Type="http://schemas.openxmlformats.org/officeDocument/2006/relationships/hyperlink" Target="https://www.andrafarm.com/_andra.php?_i=daftar-tkpi&amp;jobs=&amp;perhal=40&amp;sby=&amp;knama=&amp;asc=0000000010&amp;urut=8" TargetMode="External"/><Relationship Id="rId9" Type="http://schemas.openxmlformats.org/officeDocument/2006/relationships/hyperlink" Target="https://www.andrafarm.com/_andra.php?_i=daftar-tkpi&amp;jobs=&amp;perhal=40&amp;sby=&amp;knama=&amp;asc=0000000100&amp;urut=7" TargetMode="External"/><Relationship Id="rId143" Type="http://schemas.openxmlformats.org/officeDocument/2006/relationships/hyperlink" Target="https://www.andrafarm.com/_andra.php?_i=daftar-tkpi&amp;kmakan=CP007" TargetMode="External"/><Relationship Id="rId142" Type="http://schemas.openxmlformats.org/officeDocument/2006/relationships/hyperlink" Target="https://www.andrafarm.com/_andra.php?_i=daftar-tkpi&amp;kmakan=CP007" TargetMode="External"/><Relationship Id="rId141" Type="http://schemas.openxmlformats.org/officeDocument/2006/relationships/hyperlink" Target="https://www.andrafarm.com/_andra.php?_i=daftar-tkpi&amp;kmakan=CP007" TargetMode="External"/><Relationship Id="rId140" Type="http://schemas.openxmlformats.org/officeDocument/2006/relationships/hyperlink" Target="https://www.andrafarm.com/_andra.php?_i=daftar-tkpi&amp;kmakan=CP007" TargetMode="External"/><Relationship Id="rId5" Type="http://schemas.openxmlformats.org/officeDocument/2006/relationships/hyperlink" Target="https://www.andrafarm.com/_andra.php?_i=daftar-tkpi&amp;jobs=&amp;perhal=40&amp;sby=&amp;knama=&amp;asc=0000000001&amp;urut=9" TargetMode="External"/><Relationship Id="rId6" Type="http://schemas.openxmlformats.org/officeDocument/2006/relationships/hyperlink" Target="https://www.andrafarm.com/_andra.php?_i=daftar-tkpi&amp;jobs=&amp;perhal=40&amp;sby=&amp;knama=&amp;asc=0000100000&amp;urut=14" TargetMode="External"/><Relationship Id="rId7" Type="http://schemas.openxmlformats.org/officeDocument/2006/relationships/hyperlink" Target="https://www.andrafarm.com/_andra.php?_i=daftar-tkpi&amp;jobs=&amp;perhal=40&amp;sby=&amp;knama=&amp;asc=0010000000&amp;urut=2" TargetMode="External"/><Relationship Id="rId145" Type="http://schemas.openxmlformats.org/officeDocument/2006/relationships/drawing" Target="../drawings/drawing4.xml"/><Relationship Id="rId8" Type="http://schemas.openxmlformats.org/officeDocument/2006/relationships/hyperlink" Target="https://www.andrafarm.com/_andra.php?_i=daftar-tkpi&amp;jobs=&amp;perhal=40&amp;sby=&amp;knama=&amp;asc=0000001000&amp;urut=6" TargetMode="External"/><Relationship Id="rId144" Type="http://schemas.openxmlformats.org/officeDocument/2006/relationships/hyperlink" Target="https://www.andrafarm.com/_andra.php?_i=daftar-tkpi&amp;kmakan=CP007" TargetMode="External"/><Relationship Id="rId73" Type="http://schemas.openxmlformats.org/officeDocument/2006/relationships/hyperlink" Target="https://www.andrafarm.com/_andra.php?_i=daftar-tkpi&amp;kmakan=BP004" TargetMode="External"/><Relationship Id="rId72" Type="http://schemas.openxmlformats.org/officeDocument/2006/relationships/hyperlink" Target="https://www.andrafarm.com/_andra.php?_i=daftar-tkpi&amp;kmakan=BP004" TargetMode="External"/><Relationship Id="rId75" Type="http://schemas.openxmlformats.org/officeDocument/2006/relationships/hyperlink" Target="https://www.andrafarm.com/_andra.php?_i=daftar-tkpi&amp;kmakan=BP008" TargetMode="External"/><Relationship Id="rId74" Type="http://schemas.openxmlformats.org/officeDocument/2006/relationships/hyperlink" Target="https://www.andrafarm.com/_andra.php?_i=daftar-tkpi&amp;kmakan=BP004" TargetMode="External"/><Relationship Id="rId77" Type="http://schemas.openxmlformats.org/officeDocument/2006/relationships/hyperlink" Target="https://www.andrafarm.com/_andra.php?_i=daftar-tkpi&amp;kmakan=BP008" TargetMode="External"/><Relationship Id="rId76" Type="http://schemas.openxmlformats.org/officeDocument/2006/relationships/hyperlink" Target="https://www.andrafarm.com/_andra.php?_i=daftar-tkpi&amp;kmakan=BP008" TargetMode="External"/><Relationship Id="rId79" Type="http://schemas.openxmlformats.org/officeDocument/2006/relationships/hyperlink" Target="https://www.andrafarm.com/_andra.php?_i=daftar-tkpi&amp;kmakan=BP008" TargetMode="External"/><Relationship Id="rId78" Type="http://schemas.openxmlformats.org/officeDocument/2006/relationships/hyperlink" Target="https://www.andrafarm.com/_andra.php?_i=daftar-tkpi&amp;kmakan=BP008" TargetMode="External"/><Relationship Id="rId71" Type="http://schemas.openxmlformats.org/officeDocument/2006/relationships/hyperlink" Target="https://www.andrafarm.com/_andra.php?_i=daftar-tkpi&amp;kmakan=BP004" TargetMode="External"/><Relationship Id="rId70" Type="http://schemas.openxmlformats.org/officeDocument/2006/relationships/hyperlink" Target="https://www.andrafarm.com/_andra.php?_i=daftar-tkpi&amp;kmakan=BP004" TargetMode="External"/><Relationship Id="rId139" Type="http://schemas.openxmlformats.org/officeDocument/2006/relationships/hyperlink" Target="https://www.andrafarm.com/_andra.php?_i=daftar-tkpi&amp;kmakan=CP006" TargetMode="External"/><Relationship Id="rId138" Type="http://schemas.openxmlformats.org/officeDocument/2006/relationships/hyperlink" Target="https://www.andrafarm.com/_andra.php?_i=daftar-tkpi&amp;kmakan=CP006" TargetMode="External"/><Relationship Id="rId137" Type="http://schemas.openxmlformats.org/officeDocument/2006/relationships/hyperlink" Target="https://www.andrafarm.com/_andra.php?_i=daftar-tkpi&amp;kmakan=CP006" TargetMode="External"/><Relationship Id="rId132" Type="http://schemas.openxmlformats.org/officeDocument/2006/relationships/hyperlink" Target="https://www.andrafarm.com/_andra.php?_i=daftar-tkpi&amp;kmakan=CP005" TargetMode="External"/><Relationship Id="rId131" Type="http://schemas.openxmlformats.org/officeDocument/2006/relationships/hyperlink" Target="https://www.andrafarm.com/_andra.php?_i=daftar-tkpi&amp;kmakan=CP005" TargetMode="External"/><Relationship Id="rId130" Type="http://schemas.openxmlformats.org/officeDocument/2006/relationships/hyperlink" Target="https://www.andrafarm.com/_andra.php?_i=daftar-tkpi&amp;kmakan=CP005" TargetMode="External"/><Relationship Id="rId136" Type="http://schemas.openxmlformats.org/officeDocument/2006/relationships/hyperlink" Target="https://www.andrafarm.com/_andra.php?_i=daftar-tkpi&amp;kmakan=CP006" TargetMode="External"/><Relationship Id="rId135" Type="http://schemas.openxmlformats.org/officeDocument/2006/relationships/hyperlink" Target="https://www.andrafarm.com/_andra.php?_i=daftar-tkpi&amp;kmakan=CP006" TargetMode="External"/><Relationship Id="rId134" Type="http://schemas.openxmlformats.org/officeDocument/2006/relationships/hyperlink" Target="https://www.andrafarm.com/_andra.php?_i=daftar-tkpi&amp;kmakan=CP005" TargetMode="External"/><Relationship Id="rId133" Type="http://schemas.openxmlformats.org/officeDocument/2006/relationships/hyperlink" Target="https://www.andrafarm.com/_andra.php?_i=daftar-tkpi&amp;kmakan=CP005" TargetMode="External"/><Relationship Id="rId62" Type="http://schemas.openxmlformats.org/officeDocument/2006/relationships/hyperlink" Target="https://www.andrafarm.com/_andra.php?_i=daftar-tkpi&amp;kmakan=BP002" TargetMode="External"/><Relationship Id="rId61" Type="http://schemas.openxmlformats.org/officeDocument/2006/relationships/hyperlink" Target="https://www.andrafarm.com/_andra.php?_i=daftar-tkpi&amp;kmakan=BP002" TargetMode="External"/><Relationship Id="rId64" Type="http://schemas.openxmlformats.org/officeDocument/2006/relationships/hyperlink" Target="https://www.andrafarm.com/_andra.php?_i=daftar-tkpi&amp;kmakan=CP005" TargetMode="External"/><Relationship Id="rId63" Type="http://schemas.openxmlformats.org/officeDocument/2006/relationships/hyperlink" Target="https://www.andrafarm.com/_andra.php?_i=daftar-tkpi&amp;kmakan=BP002" TargetMode="External"/><Relationship Id="rId66" Type="http://schemas.openxmlformats.org/officeDocument/2006/relationships/hyperlink" Target="https://www.andrafarm.com/_andra.php?_i=daftar-tkpi&amp;kmakan=BP003" TargetMode="External"/><Relationship Id="rId65" Type="http://schemas.openxmlformats.org/officeDocument/2006/relationships/hyperlink" Target="https://www.andrafarm.com/_andra.php?_i=daftar-tkpi&amp;kmakan=BP003" TargetMode="External"/><Relationship Id="rId68" Type="http://schemas.openxmlformats.org/officeDocument/2006/relationships/hyperlink" Target="https://www.andrafarm.com/_andra.php?_i=daftar-tkpi&amp;kmakan=BP003" TargetMode="External"/><Relationship Id="rId67" Type="http://schemas.openxmlformats.org/officeDocument/2006/relationships/hyperlink" Target="https://www.andrafarm.com/_andra.php?_i=daftar-tkpi&amp;kmakan=BP003" TargetMode="External"/><Relationship Id="rId60" Type="http://schemas.openxmlformats.org/officeDocument/2006/relationships/hyperlink" Target="https://www.andrafarm.com/_andra.php?_i=daftar-tkpi&amp;kmakan=BP002" TargetMode="External"/><Relationship Id="rId69" Type="http://schemas.openxmlformats.org/officeDocument/2006/relationships/hyperlink" Target="https://www.andrafarm.com/_andra.php?_i=daftar-tkpi&amp;kmakan=BP003" TargetMode="External"/><Relationship Id="rId51" Type="http://schemas.openxmlformats.org/officeDocument/2006/relationships/hyperlink" Target="https://www.andrafarm.com/_andra.php?_i=daftar-tkpi&amp;kmakan=AR005" TargetMode="External"/><Relationship Id="rId50" Type="http://schemas.openxmlformats.org/officeDocument/2006/relationships/hyperlink" Target="https://www.andrafarm.com/_andra.php?_i=daftar-tkpi&amp;kmakan=AR005" TargetMode="External"/><Relationship Id="rId53" Type="http://schemas.openxmlformats.org/officeDocument/2006/relationships/hyperlink" Target="https://www.andrafarm.com/_andra.php?_i=daftar-tkpi&amp;kmakan=BP001" TargetMode="External"/><Relationship Id="rId52" Type="http://schemas.openxmlformats.org/officeDocument/2006/relationships/hyperlink" Target="https://www.andrafarm.com/_andra.php?_i=daftar-tkpi&amp;kmakan=BP040" TargetMode="External"/><Relationship Id="rId55" Type="http://schemas.openxmlformats.org/officeDocument/2006/relationships/hyperlink" Target="https://www.andrafarm.com/_andra.php?_i=daftar-tkpi&amp;kmakan=BP001" TargetMode="External"/><Relationship Id="rId54" Type="http://schemas.openxmlformats.org/officeDocument/2006/relationships/hyperlink" Target="https://www.andrafarm.com/_andra.php?_i=daftar-tkpi&amp;kmakan=BP001" TargetMode="External"/><Relationship Id="rId57" Type="http://schemas.openxmlformats.org/officeDocument/2006/relationships/hyperlink" Target="https://www.andrafarm.com/_andra.php?_i=daftar-tkpi&amp;kmakan=BP001" TargetMode="External"/><Relationship Id="rId56" Type="http://schemas.openxmlformats.org/officeDocument/2006/relationships/hyperlink" Target="https://www.andrafarm.com/_andra.php?_i=daftar-tkpi&amp;kmakan=BP001" TargetMode="External"/><Relationship Id="rId59" Type="http://schemas.openxmlformats.org/officeDocument/2006/relationships/hyperlink" Target="https://www.andrafarm.com/_andra.php?_i=daftar-tkpi&amp;kmakan=BP002" TargetMode="External"/><Relationship Id="rId58" Type="http://schemas.openxmlformats.org/officeDocument/2006/relationships/hyperlink" Target="https://www.andrafarm.com/_andra.php?_i=daftar-tkpi&amp;kmakan=BP045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drafarm.com/_andra.php?_i=daftar-tkpi&amp;kmakan=AP086" TargetMode="External"/><Relationship Id="rId42" Type="http://schemas.openxmlformats.org/officeDocument/2006/relationships/hyperlink" Target="https://www.andrafarm.com/_andra.php?_i=daftar-tkpi&amp;kmakan=AR001" TargetMode="External"/><Relationship Id="rId41" Type="http://schemas.openxmlformats.org/officeDocument/2006/relationships/hyperlink" Target="https://www.andrafarm.com/_andra.php?_i=daftar-tkpi&amp;kmakan=AR001" TargetMode="External"/><Relationship Id="rId44" Type="http://schemas.openxmlformats.org/officeDocument/2006/relationships/hyperlink" Target="https://www.andrafarm.com/_andra.php?_i=daftar-tkpi&amp;kmakan=AR001" TargetMode="External"/><Relationship Id="rId43" Type="http://schemas.openxmlformats.org/officeDocument/2006/relationships/hyperlink" Target="https://www.andrafarm.com/_andra.php?_i=daftar-tkpi&amp;kmakan=AR001" TargetMode="External"/><Relationship Id="rId46" Type="http://schemas.openxmlformats.org/officeDocument/2006/relationships/hyperlink" Target="https://www.andrafarm.com/_andra.php?_i=daftar-tkpi&amp;kmakan=BP040" TargetMode="External"/><Relationship Id="rId45" Type="http://schemas.openxmlformats.org/officeDocument/2006/relationships/hyperlink" Target="https://www.andrafarm.com/_andra.php?_i=daftar-tkpi&amp;kmakan=AR001" TargetMode="External"/><Relationship Id="rId107" Type="http://schemas.openxmlformats.org/officeDocument/2006/relationships/hyperlink" Target="https://www.andrafarm.com/_andra.php?_i=daftar-tkpi&amp;kmakan=BP039" TargetMode="External"/><Relationship Id="rId106" Type="http://schemas.openxmlformats.org/officeDocument/2006/relationships/hyperlink" Target="https://www.andrafarm.com/_andra.php?_i=daftar-tkpi&amp;kmakan=BP039" TargetMode="External"/><Relationship Id="rId105" Type="http://schemas.openxmlformats.org/officeDocument/2006/relationships/hyperlink" Target="https://www.andrafarm.com/_andra.php?_i=daftar-tkpi&amp;kmakan=BP039" TargetMode="External"/><Relationship Id="rId104" Type="http://schemas.openxmlformats.org/officeDocument/2006/relationships/hyperlink" Target="https://www.andrafarm.com/_andra.php?_i=daftar-tkpi&amp;kmakan=BP036" TargetMode="External"/><Relationship Id="rId109" Type="http://schemas.openxmlformats.org/officeDocument/2006/relationships/hyperlink" Target="https://www.andrafarm.com/_andra.php?_i=daftar-tkpi&amp;kmakan=BP039" TargetMode="External"/><Relationship Id="rId108" Type="http://schemas.openxmlformats.org/officeDocument/2006/relationships/hyperlink" Target="https://www.andrafarm.com/_andra.php?_i=daftar-tkpi&amp;kmakan=BP039" TargetMode="External"/><Relationship Id="rId48" Type="http://schemas.openxmlformats.org/officeDocument/2006/relationships/hyperlink" Target="https://www.andrafarm.com/_andra.php?_i=daftar-tkpi&amp;kmakan=AR005" TargetMode="External"/><Relationship Id="rId47" Type="http://schemas.openxmlformats.org/officeDocument/2006/relationships/hyperlink" Target="https://www.andrafarm.com/_andra.php?_i=daftar-tkpi&amp;kmakan=AR005" TargetMode="External"/><Relationship Id="rId49" Type="http://schemas.openxmlformats.org/officeDocument/2006/relationships/hyperlink" Target="https://www.andrafarm.com/_andra.php?_i=daftar-tkpi&amp;kmakan=AR005" TargetMode="External"/><Relationship Id="rId103" Type="http://schemas.openxmlformats.org/officeDocument/2006/relationships/hyperlink" Target="https://www.andrafarm.com/_andra.php?_i=daftar-tkpi&amp;kmakan=BP036" TargetMode="External"/><Relationship Id="rId102" Type="http://schemas.openxmlformats.org/officeDocument/2006/relationships/hyperlink" Target="https://www.andrafarm.com/_andra.php?_i=daftar-tkpi&amp;kmakan=BP036" TargetMode="External"/><Relationship Id="rId101" Type="http://schemas.openxmlformats.org/officeDocument/2006/relationships/hyperlink" Target="https://www.andrafarm.com/_andra.php?_i=daftar-tkpi&amp;kmakan=BP036" TargetMode="External"/><Relationship Id="rId100" Type="http://schemas.openxmlformats.org/officeDocument/2006/relationships/hyperlink" Target="https://www.andrafarm.com/_andra.php?_i=daftar-tkpi&amp;kmakan=BP036" TargetMode="External"/><Relationship Id="rId31" Type="http://schemas.openxmlformats.org/officeDocument/2006/relationships/hyperlink" Target="https://www.andrafarm.com/_andra.php?_i=daftar-tkpi&amp;kmakan=AP040" TargetMode="External"/><Relationship Id="rId30" Type="http://schemas.openxmlformats.org/officeDocument/2006/relationships/hyperlink" Target="https://www.andrafarm.com/_andra.php?_i=daftar-tkpi&amp;kmakan=AP029" TargetMode="External"/><Relationship Id="rId33" Type="http://schemas.openxmlformats.org/officeDocument/2006/relationships/hyperlink" Target="https://www.andrafarm.com/_andra.php?_i=daftar-tkpi&amp;kmakan=AP040" TargetMode="External"/><Relationship Id="rId32" Type="http://schemas.openxmlformats.org/officeDocument/2006/relationships/hyperlink" Target="https://www.andrafarm.com/_andra.php?_i=daftar-tkpi&amp;kmakan=AP040" TargetMode="External"/><Relationship Id="rId35" Type="http://schemas.openxmlformats.org/officeDocument/2006/relationships/hyperlink" Target="https://www.andrafarm.com/_andra.php?_i=daftar-tkpi&amp;kmakan=AP040" TargetMode="External"/><Relationship Id="rId34" Type="http://schemas.openxmlformats.org/officeDocument/2006/relationships/hyperlink" Target="https://www.andrafarm.com/_andra.php?_i=daftar-tkpi&amp;kmakan=AP040" TargetMode="External"/><Relationship Id="rId37" Type="http://schemas.openxmlformats.org/officeDocument/2006/relationships/hyperlink" Target="https://www.andrafarm.com/_andra.php?_i=daftar-tkpi&amp;kmakan=AP086" TargetMode="External"/><Relationship Id="rId36" Type="http://schemas.openxmlformats.org/officeDocument/2006/relationships/hyperlink" Target="https://www.andrafarm.com/_andra.php?_i=daftar-tkpi&amp;kmakan=AP086" TargetMode="External"/><Relationship Id="rId39" Type="http://schemas.openxmlformats.org/officeDocument/2006/relationships/hyperlink" Target="https://www.andrafarm.com/_andra.php?_i=daftar-tkpi&amp;kmakan=AP086" TargetMode="External"/><Relationship Id="rId38" Type="http://schemas.openxmlformats.org/officeDocument/2006/relationships/hyperlink" Target="https://www.andrafarm.com/_andra.php?_i=daftar-tkpi&amp;kmakan=AP086" TargetMode="External"/><Relationship Id="rId20" Type="http://schemas.openxmlformats.org/officeDocument/2006/relationships/hyperlink" Target="https://www.andrafarm.com/_andra.php?_i=daftar-tkpi&amp;jobs=&amp;perhal=40&amp;sby=&amp;knama=&amp;asc=0010000000&amp;urut=2" TargetMode="External"/><Relationship Id="rId22" Type="http://schemas.openxmlformats.org/officeDocument/2006/relationships/hyperlink" Target="https://www.andrafarm.com/_andra.php?_i=daftar-tkpi&amp;kmakan=AP001" TargetMode="External"/><Relationship Id="rId21" Type="http://schemas.openxmlformats.org/officeDocument/2006/relationships/hyperlink" Target="https://www.andrafarm.com/_andra.php?_i=daftar-tkpi&amp;kmakan=AP001" TargetMode="External"/><Relationship Id="rId24" Type="http://schemas.openxmlformats.org/officeDocument/2006/relationships/hyperlink" Target="https://www.andrafarm.com/_andra.php?_i=daftar-tkpi&amp;kmakan=AP001" TargetMode="External"/><Relationship Id="rId23" Type="http://schemas.openxmlformats.org/officeDocument/2006/relationships/hyperlink" Target="https://www.andrafarm.com/_andra.php?_i=daftar-tkpi&amp;kmakan=AP001" TargetMode="External"/><Relationship Id="rId129" Type="http://schemas.openxmlformats.org/officeDocument/2006/relationships/hyperlink" Target="https://www.andrafarm.com/_andra.php?_i=daftar-tkpi&amp;kmakan=BP054" TargetMode="External"/><Relationship Id="rId128" Type="http://schemas.openxmlformats.org/officeDocument/2006/relationships/hyperlink" Target="https://www.andrafarm.com/_andra.php?_i=daftar-tkpi&amp;kmakan=BP054" TargetMode="External"/><Relationship Id="rId127" Type="http://schemas.openxmlformats.org/officeDocument/2006/relationships/hyperlink" Target="https://www.andrafarm.com/_andra.php?_i=daftar-tkpi&amp;kmakan=BP054" TargetMode="External"/><Relationship Id="rId126" Type="http://schemas.openxmlformats.org/officeDocument/2006/relationships/hyperlink" Target="https://www.andrafarm.com/_andra.php?_i=daftar-tkpi&amp;kmakan=BP054" TargetMode="External"/><Relationship Id="rId26" Type="http://schemas.openxmlformats.org/officeDocument/2006/relationships/hyperlink" Target="https://www.andrafarm.com/_andra.php?_i=daftar-tkpi&amp;kmakan=AP029" TargetMode="External"/><Relationship Id="rId121" Type="http://schemas.openxmlformats.org/officeDocument/2006/relationships/hyperlink" Target="https://www.andrafarm.com/_andra.php?_i=daftar-tkpi&amp;kmakan=BP047" TargetMode="External"/><Relationship Id="rId25" Type="http://schemas.openxmlformats.org/officeDocument/2006/relationships/hyperlink" Target="https://www.andrafarm.com/_andra.php?_i=daftar-tkpi&amp;kmakan=AP001" TargetMode="External"/><Relationship Id="rId120" Type="http://schemas.openxmlformats.org/officeDocument/2006/relationships/hyperlink" Target="https://www.andrafarm.com/_andra.php?_i=daftar-tkpi&amp;kmakan=BP047" TargetMode="External"/><Relationship Id="rId28" Type="http://schemas.openxmlformats.org/officeDocument/2006/relationships/hyperlink" Target="https://www.andrafarm.com/_andra.php?_i=daftar-tkpi&amp;kmakan=AP029" TargetMode="External"/><Relationship Id="rId27" Type="http://schemas.openxmlformats.org/officeDocument/2006/relationships/hyperlink" Target="https://www.andrafarm.com/_andra.php?_i=daftar-tkpi&amp;kmakan=AP029" TargetMode="External"/><Relationship Id="rId125" Type="http://schemas.openxmlformats.org/officeDocument/2006/relationships/hyperlink" Target="https://www.andrafarm.com/_andra.php?_i=daftar-tkpi&amp;kmakan=BP054" TargetMode="External"/><Relationship Id="rId29" Type="http://schemas.openxmlformats.org/officeDocument/2006/relationships/hyperlink" Target="https://www.andrafarm.com/_andra.php?_i=daftar-tkpi&amp;kmakan=AP029" TargetMode="External"/><Relationship Id="rId124" Type="http://schemas.openxmlformats.org/officeDocument/2006/relationships/hyperlink" Target="https://www.andrafarm.com/_andra.php?_i=daftar-tkpi&amp;kmakan=BP047" TargetMode="External"/><Relationship Id="rId123" Type="http://schemas.openxmlformats.org/officeDocument/2006/relationships/hyperlink" Target="https://www.andrafarm.com/_andra.php?_i=daftar-tkpi&amp;kmakan=BP047" TargetMode="External"/><Relationship Id="rId122" Type="http://schemas.openxmlformats.org/officeDocument/2006/relationships/hyperlink" Target="https://www.andrafarm.com/_andra.php?_i=daftar-tkpi&amp;kmakan=BP047" TargetMode="External"/><Relationship Id="rId95" Type="http://schemas.openxmlformats.org/officeDocument/2006/relationships/hyperlink" Target="https://www.andrafarm.com/_andra.php?_i=daftar-tkpi&amp;kmakan=BR031" TargetMode="External"/><Relationship Id="rId94" Type="http://schemas.openxmlformats.org/officeDocument/2006/relationships/hyperlink" Target="https://www.andrafarm.com/_andra.php?_i=daftar-tkpi&amp;kmakan=BR030" TargetMode="External"/><Relationship Id="rId97" Type="http://schemas.openxmlformats.org/officeDocument/2006/relationships/hyperlink" Target="https://www.andrafarm.com/_andra.php?_i=daftar-tkpi&amp;kmakan=BR031" TargetMode="External"/><Relationship Id="rId96" Type="http://schemas.openxmlformats.org/officeDocument/2006/relationships/hyperlink" Target="https://www.andrafarm.com/_andra.php?_i=daftar-tkpi&amp;kmakan=BR031" TargetMode="External"/><Relationship Id="rId11" Type="http://schemas.openxmlformats.org/officeDocument/2006/relationships/hyperlink" Target="https://www.andrafarm.com/_andra.php?_i=daftar-tkpi&amp;jobs=&amp;perhal=40&amp;sby=&amp;knama=&amp;asc=0000000001&amp;urut=9" TargetMode="External"/><Relationship Id="rId99" Type="http://schemas.openxmlformats.org/officeDocument/2006/relationships/hyperlink" Target="https://www.andrafarm.com/_andra.php?_i=daftar-tkpi&amp;kmakan=BR031" TargetMode="External"/><Relationship Id="rId10" Type="http://schemas.openxmlformats.org/officeDocument/2006/relationships/hyperlink" Target="https://www.andrafarm.com/_andra.php?_i=daftar-tkpi&amp;jobs=&amp;perhal=40&amp;sby=&amp;knama=&amp;asc=0000000010&amp;urut=8" TargetMode="External"/><Relationship Id="rId98" Type="http://schemas.openxmlformats.org/officeDocument/2006/relationships/hyperlink" Target="https://www.andrafarm.com/_andra.php?_i=daftar-tkpi&amp;kmakan=BR031" TargetMode="External"/><Relationship Id="rId13" Type="http://schemas.openxmlformats.org/officeDocument/2006/relationships/hyperlink" Target="https://www.andrafarm.com/_andra.php?_i=daftar-tkpi&amp;jobs=&amp;perhal=40&amp;sby=&amp;knama=&amp;asc=0010000000&amp;urut=2" TargetMode="External"/><Relationship Id="rId12" Type="http://schemas.openxmlformats.org/officeDocument/2006/relationships/hyperlink" Target="https://www.andrafarm.com/_andra.php?_i=daftar-tkpi&amp;jobs=&amp;perhal=40&amp;sby=&amp;knama=&amp;asc=0000100000&amp;urut=14" TargetMode="External"/><Relationship Id="rId91" Type="http://schemas.openxmlformats.org/officeDocument/2006/relationships/hyperlink" Target="https://www.andrafarm.com/_andra.php?_i=daftar-tkpi&amp;kmakan=BR030" TargetMode="External"/><Relationship Id="rId90" Type="http://schemas.openxmlformats.org/officeDocument/2006/relationships/hyperlink" Target="https://www.andrafarm.com/_andra.php?_i=daftar-tkpi&amp;kmakan=BR030" TargetMode="External"/><Relationship Id="rId93" Type="http://schemas.openxmlformats.org/officeDocument/2006/relationships/hyperlink" Target="https://www.andrafarm.com/_andra.php?_i=daftar-tkpi&amp;kmakan=BR030" TargetMode="External"/><Relationship Id="rId92" Type="http://schemas.openxmlformats.org/officeDocument/2006/relationships/hyperlink" Target="https://www.andrafarm.com/_andra.php?_i=daftar-tkpi&amp;kmakan=BR030" TargetMode="External"/><Relationship Id="rId118" Type="http://schemas.openxmlformats.org/officeDocument/2006/relationships/hyperlink" Target="https://www.andrafarm.com/_andra.php?_i=daftar-tkpi&amp;kmakan=BP045" TargetMode="External"/><Relationship Id="rId117" Type="http://schemas.openxmlformats.org/officeDocument/2006/relationships/hyperlink" Target="https://www.andrafarm.com/_andra.php?_i=daftar-tkpi&amp;kmakan=BP045" TargetMode="External"/><Relationship Id="rId116" Type="http://schemas.openxmlformats.org/officeDocument/2006/relationships/hyperlink" Target="https://www.andrafarm.com/_andra.php?_i=daftar-tkpi&amp;kmakan=BP045" TargetMode="External"/><Relationship Id="rId115" Type="http://schemas.openxmlformats.org/officeDocument/2006/relationships/hyperlink" Target="https://www.andrafarm.com/_andra.php?_i=daftar-tkpi&amp;kmakan=BP045" TargetMode="External"/><Relationship Id="rId119" Type="http://schemas.openxmlformats.org/officeDocument/2006/relationships/hyperlink" Target="https://www.andrafarm.com/_andra.php?_i=daftar-tkpi&amp;kmakan=BP045" TargetMode="External"/><Relationship Id="rId15" Type="http://schemas.openxmlformats.org/officeDocument/2006/relationships/hyperlink" Target="https://www.andrafarm.com/_andra.php?_i=daftar-tkpi&amp;jobs=&amp;perhal=40&amp;sby=&amp;knama=&amp;asc=0000000100&amp;urut=7" TargetMode="External"/><Relationship Id="rId110" Type="http://schemas.openxmlformats.org/officeDocument/2006/relationships/hyperlink" Target="https://www.andrafarm.com/_andra.php?_i=daftar-tkpi&amp;kmakan=BP040" TargetMode="External"/><Relationship Id="rId14" Type="http://schemas.openxmlformats.org/officeDocument/2006/relationships/hyperlink" Target="https://www.andrafarm.com/_andra.php?_i=daftar-tkpi&amp;jobs=&amp;perhal=40&amp;sby=&amp;knama=&amp;asc=0000001000&amp;urut=6" TargetMode="External"/><Relationship Id="rId17" Type="http://schemas.openxmlformats.org/officeDocument/2006/relationships/hyperlink" Target="https://www.andrafarm.com/_andra.php?_i=daftar-tkpi&amp;jobs=&amp;perhal=40&amp;sby=&amp;knama=&amp;asc=0000000001&amp;urut=9" TargetMode="External"/><Relationship Id="rId16" Type="http://schemas.openxmlformats.org/officeDocument/2006/relationships/hyperlink" Target="https://www.andrafarm.com/_andra.php?_i=daftar-tkpi&amp;jobs=&amp;perhal=40&amp;sby=&amp;knama=&amp;asc=0000000010&amp;urut=8" TargetMode="External"/><Relationship Id="rId19" Type="http://schemas.openxmlformats.org/officeDocument/2006/relationships/hyperlink" Target="https://www.andrafarm.com/_andra.php?_i=daftar-tkpi&amp;jobs=&amp;perhal=40&amp;sby=&amp;knama=&amp;asc=0010000000&amp;urut=2" TargetMode="External"/><Relationship Id="rId114" Type="http://schemas.openxmlformats.org/officeDocument/2006/relationships/hyperlink" Target="https://www.andrafarm.com/_andra.php?_i=daftar-tkpi&amp;kmakan=BP040" TargetMode="External"/><Relationship Id="rId18" Type="http://schemas.openxmlformats.org/officeDocument/2006/relationships/hyperlink" Target="https://www.andrafarm.com/_andra.php?_i=daftar-tkpi&amp;jobs=&amp;perhal=40&amp;sby=&amp;knama=&amp;asc=0000100000&amp;urut=14" TargetMode="External"/><Relationship Id="rId113" Type="http://schemas.openxmlformats.org/officeDocument/2006/relationships/hyperlink" Target="https://www.andrafarm.com/_andra.php?_i=daftar-tkpi&amp;kmakan=BP040" TargetMode="External"/><Relationship Id="rId112" Type="http://schemas.openxmlformats.org/officeDocument/2006/relationships/hyperlink" Target="https://www.andrafarm.com/_andra.php?_i=daftar-tkpi&amp;kmakan=BP040" TargetMode="External"/><Relationship Id="rId111" Type="http://schemas.openxmlformats.org/officeDocument/2006/relationships/hyperlink" Target="https://www.andrafarm.com/_andra.php?_i=daftar-tkpi&amp;kmakan=BP040" TargetMode="External"/><Relationship Id="rId84" Type="http://schemas.openxmlformats.org/officeDocument/2006/relationships/hyperlink" Target="https://www.andrafarm.com/_andra.php?_i=daftar-tkpi&amp;kmakan=BP011" TargetMode="External"/><Relationship Id="rId83" Type="http://schemas.openxmlformats.org/officeDocument/2006/relationships/hyperlink" Target="https://www.andrafarm.com/_andra.php?_i=daftar-tkpi&amp;kmakan=BP011" TargetMode="External"/><Relationship Id="rId86" Type="http://schemas.openxmlformats.org/officeDocument/2006/relationships/hyperlink" Target="https://www.andrafarm.com/_andra.php?_i=daftar-tkpi&amp;kmakan=BP012" TargetMode="External"/><Relationship Id="rId85" Type="http://schemas.openxmlformats.org/officeDocument/2006/relationships/hyperlink" Target="https://www.andrafarm.com/_andra.php?_i=daftar-tkpi&amp;kmakan=BP012" TargetMode="External"/><Relationship Id="rId88" Type="http://schemas.openxmlformats.org/officeDocument/2006/relationships/hyperlink" Target="https://www.andrafarm.com/_andra.php?_i=daftar-tkpi&amp;kmakan=BP012" TargetMode="External"/><Relationship Id="rId87" Type="http://schemas.openxmlformats.org/officeDocument/2006/relationships/hyperlink" Target="https://www.andrafarm.com/_andra.php?_i=daftar-tkpi&amp;kmakan=BP012" TargetMode="External"/><Relationship Id="rId89" Type="http://schemas.openxmlformats.org/officeDocument/2006/relationships/hyperlink" Target="https://www.andrafarm.com/_andra.php?_i=daftar-tkpi&amp;kmakan=BP012" TargetMode="External"/><Relationship Id="rId80" Type="http://schemas.openxmlformats.org/officeDocument/2006/relationships/hyperlink" Target="https://www.andrafarm.com/_andra.php?_i=daftar-tkpi&amp;kmakan=BP011" TargetMode="External"/><Relationship Id="rId82" Type="http://schemas.openxmlformats.org/officeDocument/2006/relationships/hyperlink" Target="https://www.andrafarm.com/_andra.php?_i=daftar-tkpi&amp;kmakan=BP011" TargetMode="External"/><Relationship Id="rId81" Type="http://schemas.openxmlformats.org/officeDocument/2006/relationships/hyperlink" Target="https://www.andrafarm.com/_andra.php?_i=daftar-tkpi&amp;kmakan=BP011" TargetMode="External"/><Relationship Id="rId1" Type="http://schemas.openxmlformats.org/officeDocument/2006/relationships/hyperlink" Target="https://www.andrafarm.com/_andra.php?_i=daftar-tkpi&amp;jobs=&amp;perhal=40&amp;sby=&amp;knama=&amp;asc=0010000000&amp;urut=2" TargetMode="External"/><Relationship Id="rId2" Type="http://schemas.openxmlformats.org/officeDocument/2006/relationships/hyperlink" Target="https://www.andrafarm.com/_andra.php?_i=daftar-tkpi&amp;jobs=&amp;perhal=40&amp;sby=&amp;knama=&amp;asc=0000001000&amp;urut=6" TargetMode="External"/><Relationship Id="rId3" Type="http://schemas.openxmlformats.org/officeDocument/2006/relationships/hyperlink" Target="https://www.andrafarm.com/_andra.php?_i=daftar-tkpi&amp;jobs=&amp;perhal=40&amp;sby=&amp;knama=&amp;asc=0000000100&amp;urut=7" TargetMode="External"/><Relationship Id="rId4" Type="http://schemas.openxmlformats.org/officeDocument/2006/relationships/hyperlink" Target="https://www.andrafarm.com/_andra.php?_i=daftar-tkpi&amp;jobs=&amp;perhal=40&amp;sby=&amp;knama=&amp;asc=0000000010&amp;urut=8" TargetMode="External"/><Relationship Id="rId9" Type="http://schemas.openxmlformats.org/officeDocument/2006/relationships/hyperlink" Target="https://www.andrafarm.com/_andra.php?_i=daftar-tkpi&amp;jobs=&amp;perhal=40&amp;sby=&amp;knama=&amp;asc=0000000100&amp;urut=7" TargetMode="External"/><Relationship Id="rId143" Type="http://schemas.openxmlformats.org/officeDocument/2006/relationships/hyperlink" Target="https://www.andrafarm.com/_andra.php?_i=daftar-tkpi&amp;kmakan=CP007" TargetMode="External"/><Relationship Id="rId142" Type="http://schemas.openxmlformats.org/officeDocument/2006/relationships/hyperlink" Target="https://www.andrafarm.com/_andra.php?_i=daftar-tkpi&amp;kmakan=CP007" TargetMode="External"/><Relationship Id="rId141" Type="http://schemas.openxmlformats.org/officeDocument/2006/relationships/hyperlink" Target="https://www.andrafarm.com/_andra.php?_i=daftar-tkpi&amp;kmakan=CP007" TargetMode="External"/><Relationship Id="rId140" Type="http://schemas.openxmlformats.org/officeDocument/2006/relationships/hyperlink" Target="https://www.andrafarm.com/_andra.php?_i=daftar-tkpi&amp;kmakan=CP007" TargetMode="External"/><Relationship Id="rId5" Type="http://schemas.openxmlformats.org/officeDocument/2006/relationships/hyperlink" Target="https://www.andrafarm.com/_andra.php?_i=daftar-tkpi&amp;jobs=&amp;perhal=40&amp;sby=&amp;knama=&amp;asc=0000000001&amp;urut=9" TargetMode="External"/><Relationship Id="rId6" Type="http://schemas.openxmlformats.org/officeDocument/2006/relationships/hyperlink" Target="https://www.andrafarm.com/_andra.php?_i=daftar-tkpi&amp;jobs=&amp;perhal=40&amp;sby=&amp;knama=&amp;asc=0000100000&amp;urut=14" TargetMode="External"/><Relationship Id="rId7" Type="http://schemas.openxmlformats.org/officeDocument/2006/relationships/hyperlink" Target="https://www.andrafarm.com/_andra.php?_i=daftar-tkpi&amp;jobs=&amp;perhal=40&amp;sby=&amp;knama=&amp;asc=0010000000&amp;urut=2" TargetMode="External"/><Relationship Id="rId145" Type="http://schemas.openxmlformats.org/officeDocument/2006/relationships/drawing" Target="../drawings/drawing5.xml"/><Relationship Id="rId8" Type="http://schemas.openxmlformats.org/officeDocument/2006/relationships/hyperlink" Target="https://www.andrafarm.com/_andra.php?_i=daftar-tkpi&amp;jobs=&amp;perhal=40&amp;sby=&amp;knama=&amp;asc=0000001000&amp;urut=6" TargetMode="External"/><Relationship Id="rId144" Type="http://schemas.openxmlformats.org/officeDocument/2006/relationships/hyperlink" Target="https://www.andrafarm.com/_andra.php?_i=daftar-tkpi&amp;kmakan=CP007" TargetMode="External"/><Relationship Id="rId73" Type="http://schemas.openxmlformats.org/officeDocument/2006/relationships/hyperlink" Target="https://www.andrafarm.com/_andra.php?_i=daftar-tkpi&amp;kmakan=BP004" TargetMode="External"/><Relationship Id="rId72" Type="http://schemas.openxmlformats.org/officeDocument/2006/relationships/hyperlink" Target="https://www.andrafarm.com/_andra.php?_i=daftar-tkpi&amp;kmakan=BP004" TargetMode="External"/><Relationship Id="rId75" Type="http://schemas.openxmlformats.org/officeDocument/2006/relationships/hyperlink" Target="https://www.andrafarm.com/_andra.php?_i=daftar-tkpi&amp;kmakan=BP008" TargetMode="External"/><Relationship Id="rId74" Type="http://schemas.openxmlformats.org/officeDocument/2006/relationships/hyperlink" Target="https://www.andrafarm.com/_andra.php?_i=daftar-tkpi&amp;kmakan=BP004" TargetMode="External"/><Relationship Id="rId77" Type="http://schemas.openxmlformats.org/officeDocument/2006/relationships/hyperlink" Target="https://www.andrafarm.com/_andra.php?_i=daftar-tkpi&amp;kmakan=BP008" TargetMode="External"/><Relationship Id="rId76" Type="http://schemas.openxmlformats.org/officeDocument/2006/relationships/hyperlink" Target="https://www.andrafarm.com/_andra.php?_i=daftar-tkpi&amp;kmakan=BP008" TargetMode="External"/><Relationship Id="rId79" Type="http://schemas.openxmlformats.org/officeDocument/2006/relationships/hyperlink" Target="https://www.andrafarm.com/_andra.php?_i=daftar-tkpi&amp;kmakan=BP008" TargetMode="External"/><Relationship Id="rId78" Type="http://schemas.openxmlformats.org/officeDocument/2006/relationships/hyperlink" Target="https://www.andrafarm.com/_andra.php?_i=daftar-tkpi&amp;kmakan=BP008" TargetMode="External"/><Relationship Id="rId71" Type="http://schemas.openxmlformats.org/officeDocument/2006/relationships/hyperlink" Target="https://www.andrafarm.com/_andra.php?_i=daftar-tkpi&amp;kmakan=BP004" TargetMode="External"/><Relationship Id="rId70" Type="http://schemas.openxmlformats.org/officeDocument/2006/relationships/hyperlink" Target="https://www.andrafarm.com/_andra.php?_i=daftar-tkpi&amp;kmakan=BP004" TargetMode="External"/><Relationship Id="rId139" Type="http://schemas.openxmlformats.org/officeDocument/2006/relationships/hyperlink" Target="https://www.andrafarm.com/_andra.php?_i=daftar-tkpi&amp;kmakan=CP006" TargetMode="External"/><Relationship Id="rId138" Type="http://schemas.openxmlformats.org/officeDocument/2006/relationships/hyperlink" Target="https://www.andrafarm.com/_andra.php?_i=daftar-tkpi&amp;kmakan=CP006" TargetMode="External"/><Relationship Id="rId137" Type="http://schemas.openxmlformats.org/officeDocument/2006/relationships/hyperlink" Target="https://www.andrafarm.com/_andra.php?_i=daftar-tkpi&amp;kmakan=CP006" TargetMode="External"/><Relationship Id="rId132" Type="http://schemas.openxmlformats.org/officeDocument/2006/relationships/hyperlink" Target="https://www.andrafarm.com/_andra.php?_i=daftar-tkpi&amp;kmakan=CP005" TargetMode="External"/><Relationship Id="rId131" Type="http://schemas.openxmlformats.org/officeDocument/2006/relationships/hyperlink" Target="https://www.andrafarm.com/_andra.php?_i=daftar-tkpi&amp;kmakan=CP005" TargetMode="External"/><Relationship Id="rId130" Type="http://schemas.openxmlformats.org/officeDocument/2006/relationships/hyperlink" Target="https://www.andrafarm.com/_andra.php?_i=daftar-tkpi&amp;kmakan=CP005" TargetMode="External"/><Relationship Id="rId136" Type="http://schemas.openxmlformats.org/officeDocument/2006/relationships/hyperlink" Target="https://www.andrafarm.com/_andra.php?_i=daftar-tkpi&amp;kmakan=CP006" TargetMode="External"/><Relationship Id="rId135" Type="http://schemas.openxmlformats.org/officeDocument/2006/relationships/hyperlink" Target="https://www.andrafarm.com/_andra.php?_i=daftar-tkpi&amp;kmakan=CP006" TargetMode="External"/><Relationship Id="rId134" Type="http://schemas.openxmlformats.org/officeDocument/2006/relationships/hyperlink" Target="https://www.andrafarm.com/_andra.php?_i=daftar-tkpi&amp;kmakan=CP005" TargetMode="External"/><Relationship Id="rId133" Type="http://schemas.openxmlformats.org/officeDocument/2006/relationships/hyperlink" Target="https://www.andrafarm.com/_andra.php?_i=daftar-tkpi&amp;kmakan=CP005" TargetMode="External"/><Relationship Id="rId62" Type="http://schemas.openxmlformats.org/officeDocument/2006/relationships/hyperlink" Target="https://www.andrafarm.com/_andra.php?_i=daftar-tkpi&amp;kmakan=BP002" TargetMode="External"/><Relationship Id="rId61" Type="http://schemas.openxmlformats.org/officeDocument/2006/relationships/hyperlink" Target="https://www.andrafarm.com/_andra.php?_i=daftar-tkpi&amp;kmakan=BP002" TargetMode="External"/><Relationship Id="rId64" Type="http://schemas.openxmlformats.org/officeDocument/2006/relationships/hyperlink" Target="https://www.andrafarm.com/_andra.php?_i=daftar-tkpi&amp;kmakan=BP045" TargetMode="External"/><Relationship Id="rId63" Type="http://schemas.openxmlformats.org/officeDocument/2006/relationships/hyperlink" Target="https://www.andrafarm.com/_andra.php?_i=daftar-tkpi&amp;kmakan=BP002" TargetMode="External"/><Relationship Id="rId66" Type="http://schemas.openxmlformats.org/officeDocument/2006/relationships/hyperlink" Target="https://www.andrafarm.com/_andra.php?_i=daftar-tkpi&amp;kmakan=BP003" TargetMode="External"/><Relationship Id="rId65" Type="http://schemas.openxmlformats.org/officeDocument/2006/relationships/hyperlink" Target="https://www.andrafarm.com/_andra.php?_i=daftar-tkpi&amp;kmakan=BP003" TargetMode="External"/><Relationship Id="rId68" Type="http://schemas.openxmlformats.org/officeDocument/2006/relationships/hyperlink" Target="https://www.andrafarm.com/_andra.php?_i=daftar-tkpi&amp;kmakan=BP003" TargetMode="External"/><Relationship Id="rId67" Type="http://schemas.openxmlformats.org/officeDocument/2006/relationships/hyperlink" Target="https://www.andrafarm.com/_andra.php?_i=daftar-tkpi&amp;kmakan=BP003" TargetMode="External"/><Relationship Id="rId60" Type="http://schemas.openxmlformats.org/officeDocument/2006/relationships/hyperlink" Target="https://www.andrafarm.com/_andra.php?_i=daftar-tkpi&amp;kmakan=BP002" TargetMode="External"/><Relationship Id="rId69" Type="http://schemas.openxmlformats.org/officeDocument/2006/relationships/hyperlink" Target="https://www.andrafarm.com/_andra.php?_i=daftar-tkpi&amp;kmakan=BP003" TargetMode="External"/><Relationship Id="rId51" Type="http://schemas.openxmlformats.org/officeDocument/2006/relationships/hyperlink" Target="https://www.andrafarm.com/_andra.php?_i=daftar-tkpi&amp;kmakan=AR005" TargetMode="External"/><Relationship Id="rId50" Type="http://schemas.openxmlformats.org/officeDocument/2006/relationships/hyperlink" Target="https://www.andrafarm.com/_andra.php?_i=daftar-tkpi&amp;kmakan=AR005" TargetMode="External"/><Relationship Id="rId53" Type="http://schemas.openxmlformats.org/officeDocument/2006/relationships/hyperlink" Target="https://www.andrafarm.com/_andra.php?_i=daftar-tkpi&amp;kmakan=BP001" TargetMode="External"/><Relationship Id="rId52" Type="http://schemas.openxmlformats.org/officeDocument/2006/relationships/hyperlink" Target="https://www.andrafarm.com/_andra.php?_i=daftar-tkpi&amp;kmakan=CP005" TargetMode="External"/><Relationship Id="rId55" Type="http://schemas.openxmlformats.org/officeDocument/2006/relationships/hyperlink" Target="https://www.andrafarm.com/_andra.php?_i=daftar-tkpi&amp;kmakan=BP001" TargetMode="External"/><Relationship Id="rId54" Type="http://schemas.openxmlformats.org/officeDocument/2006/relationships/hyperlink" Target="https://www.andrafarm.com/_andra.php?_i=daftar-tkpi&amp;kmakan=BP001" TargetMode="External"/><Relationship Id="rId57" Type="http://schemas.openxmlformats.org/officeDocument/2006/relationships/hyperlink" Target="https://www.andrafarm.com/_andra.php?_i=daftar-tkpi&amp;kmakan=BP001" TargetMode="External"/><Relationship Id="rId56" Type="http://schemas.openxmlformats.org/officeDocument/2006/relationships/hyperlink" Target="https://www.andrafarm.com/_andra.php?_i=daftar-tkpi&amp;kmakan=BP001" TargetMode="External"/><Relationship Id="rId59" Type="http://schemas.openxmlformats.org/officeDocument/2006/relationships/hyperlink" Target="https://www.andrafarm.com/_andra.php?_i=daftar-tkpi&amp;kmakan=BP002" TargetMode="External"/><Relationship Id="rId58" Type="http://schemas.openxmlformats.org/officeDocument/2006/relationships/hyperlink" Target="https://www.andrafarm.com/_andra.php?_i=daftar-tkpi&amp;kmakan=AP040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drafarm.com/_andra.php?_i=daftar-tkpi&amp;kmakan=AP086" TargetMode="External"/><Relationship Id="rId190" Type="http://schemas.openxmlformats.org/officeDocument/2006/relationships/hyperlink" Target="https://www.andrafarm.com/_andra.php?_i=daftar-tkpi&amp;kmakan=CP058" TargetMode="External"/><Relationship Id="rId42" Type="http://schemas.openxmlformats.org/officeDocument/2006/relationships/hyperlink" Target="https://www.andrafarm.com/_andra.php?_i=daftar-tkpi&amp;kmakan=BP039" TargetMode="External"/><Relationship Id="rId41" Type="http://schemas.openxmlformats.org/officeDocument/2006/relationships/hyperlink" Target="https://www.andrafarm.com/_andra.php?_i=daftar-tkpi&amp;kmakan=AP086" TargetMode="External"/><Relationship Id="rId44" Type="http://schemas.openxmlformats.org/officeDocument/2006/relationships/hyperlink" Target="https://www.andrafarm.com/_andra.php?_i=daftar-tkpi&amp;kmakan=AR001" TargetMode="External"/><Relationship Id="rId194" Type="http://schemas.openxmlformats.org/officeDocument/2006/relationships/hyperlink" Target="https://www.andrafarm.com/_andra.php?_i=daftar-tkpi&amp;kmakan=CP058" TargetMode="External"/><Relationship Id="rId43" Type="http://schemas.openxmlformats.org/officeDocument/2006/relationships/hyperlink" Target="https://www.andrafarm.com/_andra.php?_i=daftar-tkpi&amp;kmakan=AR001" TargetMode="External"/><Relationship Id="rId193" Type="http://schemas.openxmlformats.org/officeDocument/2006/relationships/hyperlink" Target="https://www.andrafarm.com/_andra.php?_i=daftar-tkpi&amp;kmakan=CP058" TargetMode="External"/><Relationship Id="rId46" Type="http://schemas.openxmlformats.org/officeDocument/2006/relationships/hyperlink" Target="https://www.andrafarm.com/_andra.php?_i=daftar-tkpi&amp;kmakan=AR001" TargetMode="External"/><Relationship Id="rId192" Type="http://schemas.openxmlformats.org/officeDocument/2006/relationships/hyperlink" Target="https://www.andrafarm.com/_andra.php?_i=daftar-tkpi&amp;kmakan=CP058" TargetMode="External"/><Relationship Id="rId45" Type="http://schemas.openxmlformats.org/officeDocument/2006/relationships/hyperlink" Target="https://www.andrafarm.com/_andra.php?_i=daftar-tkpi&amp;kmakan=AR001" TargetMode="External"/><Relationship Id="rId191" Type="http://schemas.openxmlformats.org/officeDocument/2006/relationships/hyperlink" Target="https://www.andrafarm.com/_andra.php?_i=daftar-tkpi&amp;kmakan=CP058" TargetMode="External"/><Relationship Id="rId48" Type="http://schemas.openxmlformats.org/officeDocument/2006/relationships/hyperlink" Target="https://www.andrafarm.com/_andra.php?_i=daftar-tkpi&amp;kmakan=BP003" TargetMode="External"/><Relationship Id="rId187" Type="http://schemas.openxmlformats.org/officeDocument/2006/relationships/hyperlink" Target="https://www.andrafarm.com/_andra.php?_i=daftar-tkpi&amp;kmakan=CP050" TargetMode="External"/><Relationship Id="rId47" Type="http://schemas.openxmlformats.org/officeDocument/2006/relationships/hyperlink" Target="https://www.andrafarm.com/_andra.php?_i=daftar-tkpi&amp;kmakan=AR001" TargetMode="External"/><Relationship Id="rId186" Type="http://schemas.openxmlformats.org/officeDocument/2006/relationships/hyperlink" Target="https://www.andrafarm.com/_andra.php?_i=daftar-tkpi&amp;kmakan=CP050" TargetMode="External"/><Relationship Id="rId185" Type="http://schemas.openxmlformats.org/officeDocument/2006/relationships/hyperlink" Target="https://www.andrafarm.com/_andra.php?_i=daftar-tkpi&amp;kmakan=CP050" TargetMode="External"/><Relationship Id="rId49" Type="http://schemas.openxmlformats.org/officeDocument/2006/relationships/hyperlink" Target="https://www.andrafarm.com/_andra.php?_i=daftar-tkpi&amp;kmakan=AR005" TargetMode="External"/><Relationship Id="rId184" Type="http://schemas.openxmlformats.org/officeDocument/2006/relationships/hyperlink" Target="https://www.andrafarm.com/_andra.php?_i=daftar-tkpi&amp;kmakan=CP046" TargetMode="External"/><Relationship Id="rId189" Type="http://schemas.openxmlformats.org/officeDocument/2006/relationships/hyperlink" Target="https://www.andrafarm.com/_andra.php?_i=daftar-tkpi&amp;kmakan=CP050" TargetMode="External"/><Relationship Id="rId188" Type="http://schemas.openxmlformats.org/officeDocument/2006/relationships/hyperlink" Target="https://www.andrafarm.com/_andra.php?_i=daftar-tkpi&amp;kmakan=CP050" TargetMode="External"/><Relationship Id="rId31" Type="http://schemas.openxmlformats.org/officeDocument/2006/relationships/hyperlink" Target="https://www.andrafarm.com/_andra.php?_i=daftar-tkpi&amp;kmakan=AP040" TargetMode="External"/><Relationship Id="rId30" Type="http://schemas.openxmlformats.org/officeDocument/2006/relationships/hyperlink" Target="https://www.andrafarm.com/_andra.php?_i=daftar-tkpi&amp;kmakan=AP029" TargetMode="External"/><Relationship Id="rId33" Type="http://schemas.openxmlformats.org/officeDocument/2006/relationships/hyperlink" Target="https://www.andrafarm.com/_andra.php?_i=daftar-tkpi&amp;kmakan=AP040" TargetMode="External"/><Relationship Id="rId183" Type="http://schemas.openxmlformats.org/officeDocument/2006/relationships/hyperlink" Target="https://www.andrafarm.com/_andra.php?_i=daftar-tkpi&amp;kmakan=CP046" TargetMode="External"/><Relationship Id="rId32" Type="http://schemas.openxmlformats.org/officeDocument/2006/relationships/hyperlink" Target="https://www.andrafarm.com/_andra.php?_i=daftar-tkpi&amp;kmakan=AP040" TargetMode="External"/><Relationship Id="rId182" Type="http://schemas.openxmlformats.org/officeDocument/2006/relationships/hyperlink" Target="https://www.andrafarm.com/_andra.php?_i=daftar-tkpi&amp;kmakan=CP046" TargetMode="External"/><Relationship Id="rId35" Type="http://schemas.openxmlformats.org/officeDocument/2006/relationships/hyperlink" Target="https://www.andrafarm.com/_andra.php?_i=daftar-tkpi&amp;kmakan=AP040" TargetMode="External"/><Relationship Id="rId181" Type="http://schemas.openxmlformats.org/officeDocument/2006/relationships/hyperlink" Target="https://www.andrafarm.com/_andra.php?_i=daftar-tkpi&amp;kmakan=CP046" TargetMode="External"/><Relationship Id="rId34" Type="http://schemas.openxmlformats.org/officeDocument/2006/relationships/hyperlink" Target="https://www.andrafarm.com/_andra.php?_i=daftar-tkpi&amp;kmakan=AP040" TargetMode="External"/><Relationship Id="rId180" Type="http://schemas.openxmlformats.org/officeDocument/2006/relationships/hyperlink" Target="https://www.andrafarm.com/_andra.php?_i=daftar-tkpi&amp;kmakan=CP046" TargetMode="External"/><Relationship Id="rId37" Type="http://schemas.openxmlformats.org/officeDocument/2006/relationships/hyperlink" Target="https://www.andrafarm.com/_andra.php?_i=daftar-tkpi&amp;kmakan=AP086" TargetMode="External"/><Relationship Id="rId176" Type="http://schemas.openxmlformats.org/officeDocument/2006/relationships/hyperlink" Target="https://www.andrafarm.com/_andra.php?_i=daftar-tkpi&amp;kmakan=CP036" TargetMode="External"/><Relationship Id="rId36" Type="http://schemas.openxmlformats.org/officeDocument/2006/relationships/hyperlink" Target="https://www.andrafarm.com/_andra.php?_i=daftar-tkpi&amp;kmakan=AR005" TargetMode="External"/><Relationship Id="rId175" Type="http://schemas.openxmlformats.org/officeDocument/2006/relationships/hyperlink" Target="https://www.andrafarm.com/_andra.php?_i=daftar-tkpi&amp;kmakan=CP036" TargetMode="External"/><Relationship Id="rId39" Type="http://schemas.openxmlformats.org/officeDocument/2006/relationships/hyperlink" Target="https://www.andrafarm.com/_andra.php?_i=daftar-tkpi&amp;kmakan=AP086" TargetMode="External"/><Relationship Id="rId174" Type="http://schemas.openxmlformats.org/officeDocument/2006/relationships/hyperlink" Target="https://www.andrafarm.com/_andra.php?_i=daftar-tkpi&amp;kmakan=CP025" TargetMode="External"/><Relationship Id="rId38" Type="http://schemas.openxmlformats.org/officeDocument/2006/relationships/hyperlink" Target="https://www.andrafarm.com/_andra.php?_i=daftar-tkpi&amp;kmakan=AP086" TargetMode="External"/><Relationship Id="rId173" Type="http://schemas.openxmlformats.org/officeDocument/2006/relationships/hyperlink" Target="https://www.andrafarm.com/_andra.php?_i=daftar-tkpi&amp;kmakan=CP025" TargetMode="External"/><Relationship Id="rId179" Type="http://schemas.openxmlformats.org/officeDocument/2006/relationships/hyperlink" Target="https://www.andrafarm.com/_andra.php?_i=daftar-tkpi&amp;kmakan=CP036" TargetMode="External"/><Relationship Id="rId178" Type="http://schemas.openxmlformats.org/officeDocument/2006/relationships/hyperlink" Target="https://www.andrafarm.com/_andra.php?_i=daftar-tkpi&amp;kmakan=CP036" TargetMode="External"/><Relationship Id="rId177" Type="http://schemas.openxmlformats.org/officeDocument/2006/relationships/hyperlink" Target="https://www.andrafarm.com/_andra.php?_i=daftar-tkpi&amp;kmakan=CP036" TargetMode="External"/><Relationship Id="rId20" Type="http://schemas.openxmlformats.org/officeDocument/2006/relationships/hyperlink" Target="https://www.andrafarm.com/_andra.php?_i=daftar-tkpi&amp;jobs=&amp;perhal=40&amp;sby=&amp;knama=&amp;asc=0010000000&amp;urut=2" TargetMode="External"/><Relationship Id="rId22" Type="http://schemas.openxmlformats.org/officeDocument/2006/relationships/hyperlink" Target="https://www.andrafarm.com/_andra.php?_i=daftar-tkpi&amp;kmakan=AP001" TargetMode="External"/><Relationship Id="rId21" Type="http://schemas.openxmlformats.org/officeDocument/2006/relationships/hyperlink" Target="https://www.andrafarm.com/_andra.php?_i=daftar-tkpi&amp;kmakan=AP001" TargetMode="External"/><Relationship Id="rId24" Type="http://schemas.openxmlformats.org/officeDocument/2006/relationships/hyperlink" Target="https://www.andrafarm.com/_andra.php?_i=daftar-tkpi&amp;kmakan=AP001" TargetMode="External"/><Relationship Id="rId23" Type="http://schemas.openxmlformats.org/officeDocument/2006/relationships/hyperlink" Target="https://www.andrafarm.com/_andra.php?_i=daftar-tkpi&amp;kmakan=AP001" TargetMode="External"/><Relationship Id="rId26" Type="http://schemas.openxmlformats.org/officeDocument/2006/relationships/hyperlink" Target="https://www.andrafarm.com/_andra.php?_i=daftar-tkpi&amp;kmakan=AP029" TargetMode="External"/><Relationship Id="rId25" Type="http://schemas.openxmlformats.org/officeDocument/2006/relationships/hyperlink" Target="https://www.andrafarm.com/_andra.php?_i=daftar-tkpi&amp;kmakan=AP001" TargetMode="External"/><Relationship Id="rId28" Type="http://schemas.openxmlformats.org/officeDocument/2006/relationships/hyperlink" Target="https://www.andrafarm.com/_andra.php?_i=daftar-tkpi&amp;kmakan=AP029" TargetMode="External"/><Relationship Id="rId27" Type="http://schemas.openxmlformats.org/officeDocument/2006/relationships/hyperlink" Target="https://www.andrafarm.com/_andra.php?_i=daftar-tkpi&amp;kmakan=AP029" TargetMode="External"/><Relationship Id="rId29" Type="http://schemas.openxmlformats.org/officeDocument/2006/relationships/hyperlink" Target="https://www.andrafarm.com/_andra.php?_i=daftar-tkpi&amp;kmakan=AP029" TargetMode="External"/><Relationship Id="rId11" Type="http://schemas.openxmlformats.org/officeDocument/2006/relationships/hyperlink" Target="https://www.andrafarm.com/_andra.php?_i=daftar-tkpi&amp;jobs=&amp;perhal=40&amp;sby=&amp;knama=&amp;asc=0000000001&amp;urut=9" TargetMode="External"/><Relationship Id="rId10" Type="http://schemas.openxmlformats.org/officeDocument/2006/relationships/hyperlink" Target="https://www.andrafarm.com/_andra.php?_i=daftar-tkpi&amp;jobs=&amp;perhal=40&amp;sby=&amp;knama=&amp;asc=0000000010&amp;urut=8" TargetMode="External"/><Relationship Id="rId13" Type="http://schemas.openxmlformats.org/officeDocument/2006/relationships/hyperlink" Target="https://www.andrafarm.com/_andra.php?_i=daftar-tkpi&amp;jobs=&amp;perhal=40&amp;sby=&amp;knama=&amp;asc=0010000000&amp;urut=2" TargetMode="External"/><Relationship Id="rId12" Type="http://schemas.openxmlformats.org/officeDocument/2006/relationships/hyperlink" Target="https://www.andrafarm.com/_andra.php?_i=daftar-tkpi&amp;jobs=&amp;perhal=40&amp;sby=&amp;knama=&amp;asc=0000100000&amp;urut=14" TargetMode="External"/><Relationship Id="rId15" Type="http://schemas.openxmlformats.org/officeDocument/2006/relationships/hyperlink" Target="https://www.andrafarm.com/_andra.php?_i=daftar-tkpi&amp;jobs=&amp;perhal=40&amp;sby=&amp;knama=&amp;asc=0000000100&amp;urut=7" TargetMode="External"/><Relationship Id="rId198" Type="http://schemas.openxmlformats.org/officeDocument/2006/relationships/hyperlink" Target="https://www.andrafarm.com/_andra.php?_i=daftar-tkpi&amp;kmakan=CP060" TargetMode="External"/><Relationship Id="rId14" Type="http://schemas.openxmlformats.org/officeDocument/2006/relationships/hyperlink" Target="https://www.andrafarm.com/_andra.php?_i=daftar-tkpi&amp;jobs=&amp;perhal=40&amp;sby=&amp;knama=&amp;asc=0000001000&amp;urut=6" TargetMode="External"/><Relationship Id="rId197" Type="http://schemas.openxmlformats.org/officeDocument/2006/relationships/hyperlink" Target="https://www.andrafarm.com/_andra.php?_i=daftar-tkpi&amp;kmakan=CP060" TargetMode="External"/><Relationship Id="rId17" Type="http://schemas.openxmlformats.org/officeDocument/2006/relationships/hyperlink" Target="https://www.andrafarm.com/_andra.php?_i=daftar-tkpi&amp;jobs=&amp;perhal=40&amp;sby=&amp;knama=&amp;asc=0000000001&amp;urut=9" TargetMode="External"/><Relationship Id="rId196" Type="http://schemas.openxmlformats.org/officeDocument/2006/relationships/hyperlink" Target="https://www.andrafarm.com/_andra.php?_i=daftar-tkpi&amp;kmakan=CP060" TargetMode="External"/><Relationship Id="rId16" Type="http://schemas.openxmlformats.org/officeDocument/2006/relationships/hyperlink" Target="https://www.andrafarm.com/_andra.php?_i=daftar-tkpi&amp;jobs=&amp;perhal=40&amp;sby=&amp;knama=&amp;asc=0000000010&amp;urut=8" TargetMode="External"/><Relationship Id="rId195" Type="http://schemas.openxmlformats.org/officeDocument/2006/relationships/hyperlink" Target="https://www.andrafarm.com/_andra.php?_i=daftar-tkpi&amp;kmakan=CP060" TargetMode="External"/><Relationship Id="rId19" Type="http://schemas.openxmlformats.org/officeDocument/2006/relationships/hyperlink" Target="https://www.andrafarm.com/_andra.php?_i=daftar-tkpi&amp;jobs=&amp;perhal=40&amp;sby=&amp;knama=&amp;asc=0010000000&amp;urut=2" TargetMode="External"/><Relationship Id="rId18" Type="http://schemas.openxmlformats.org/officeDocument/2006/relationships/hyperlink" Target="https://www.andrafarm.com/_andra.php?_i=daftar-tkpi&amp;jobs=&amp;perhal=40&amp;sby=&amp;knama=&amp;asc=0000100000&amp;urut=14" TargetMode="External"/><Relationship Id="rId199" Type="http://schemas.openxmlformats.org/officeDocument/2006/relationships/hyperlink" Target="https://www.andrafarm.com/_andra.php?_i=daftar-tkpi&amp;kmakan=CP060" TargetMode="External"/><Relationship Id="rId84" Type="http://schemas.openxmlformats.org/officeDocument/2006/relationships/hyperlink" Target="https://www.andrafarm.com/_andra.php?_i=daftar-tkpi&amp;kmakan=BP011" TargetMode="External"/><Relationship Id="rId83" Type="http://schemas.openxmlformats.org/officeDocument/2006/relationships/hyperlink" Target="https://www.andrafarm.com/_andra.php?_i=daftar-tkpi&amp;kmakan=BP011" TargetMode="External"/><Relationship Id="rId86" Type="http://schemas.openxmlformats.org/officeDocument/2006/relationships/hyperlink" Target="https://www.andrafarm.com/_andra.php?_i=daftar-tkpi&amp;kmakan=BP012" TargetMode="External"/><Relationship Id="rId85" Type="http://schemas.openxmlformats.org/officeDocument/2006/relationships/hyperlink" Target="https://www.andrafarm.com/_andra.php?_i=daftar-tkpi&amp;kmakan=BP012" TargetMode="External"/><Relationship Id="rId88" Type="http://schemas.openxmlformats.org/officeDocument/2006/relationships/hyperlink" Target="https://www.andrafarm.com/_andra.php?_i=daftar-tkpi&amp;kmakan=BP012" TargetMode="External"/><Relationship Id="rId150" Type="http://schemas.openxmlformats.org/officeDocument/2006/relationships/hyperlink" Target="https://www.andrafarm.com/_andra.php?_i=daftar-tkpi&amp;kmakan=CP009" TargetMode="External"/><Relationship Id="rId271" Type="http://schemas.openxmlformats.org/officeDocument/2006/relationships/hyperlink" Target="https://www.andrafarm.com/_andra.php?_i=daftar-usda&amp;kmakan=09325" TargetMode="External"/><Relationship Id="rId87" Type="http://schemas.openxmlformats.org/officeDocument/2006/relationships/hyperlink" Target="https://www.andrafarm.com/_andra.php?_i=daftar-tkpi&amp;kmakan=BP012" TargetMode="External"/><Relationship Id="rId270" Type="http://schemas.openxmlformats.org/officeDocument/2006/relationships/hyperlink" Target="https://www.andrafarm.com/_andra.php?_i=daftar-usda&amp;kmakan=09325" TargetMode="External"/><Relationship Id="rId89" Type="http://schemas.openxmlformats.org/officeDocument/2006/relationships/hyperlink" Target="https://www.andrafarm.com/_andra.php?_i=daftar-tkpi&amp;kmakan=BP012" TargetMode="External"/><Relationship Id="rId80" Type="http://schemas.openxmlformats.org/officeDocument/2006/relationships/hyperlink" Target="https://www.andrafarm.com/_andra.php?_i=daftar-tkpi&amp;kmakan=BP011" TargetMode="External"/><Relationship Id="rId82" Type="http://schemas.openxmlformats.org/officeDocument/2006/relationships/hyperlink" Target="https://www.andrafarm.com/_andra.php?_i=daftar-tkpi&amp;kmakan=BP011" TargetMode="External"/><Relationship Id="rId81" Type="http://schemas.openxmlformats.org/officeDocument/2006/relationships/hyperlink" Target="https://www.andrafarm.com/_andra.php?_i=daftar-tkpi&amp;kmakan=BP011" TargetMode="External"/><Relationship Id="rId1" Type="http://schemas.openxmlformats.org/officeDocument/2006/relationships/hyperlink" Target="https://www.andrafarm.com/_andra.php?_i=daftar-tkpi&amp;jobs=&amp;perhal=40&amp;sby=&amp;knama=&amp;asc=0010000000&amp;urut=2" TargetMode="External"/><Relationship Id="rId2" Type="http://schemas.openxmlformats.org/officeDocument/2006/relationships/hyperlink" Target="https://www.andrafarm.com/_andra.php?_i=daftar-tkpi&amp;jobs=&amp;perhal=40&amp;sby=&amp;knama=&amp;asc=0000001000&amp;urut=6" TargetMode="External"/><Relationship Id="rId3" Type="http://schemas.openxmlformats.org/officeDocument/2006/relationships/hyperlink" Target="https://www.andrafarm.com/_andra.php?_i=daftar-tkpi&amp;jobs=&amp;perhal=40&amp;sby=&amp;knama=&amp;asc=0000000100&amp;urut=7" TargetMode="External"/><Relationship Id="rId149" Type="http://schemas.openxmlformats.org/officeDocument/2006/relationships/hyperlink" Target="https://www.andrafarm.com/_andra.php?_i=daftar-tkpi&amp;kmakan=CP008" TargetMode="External"/><Relationship Id="rId4" Type="http://schemas.openxmlformats.org/officeDocument/2006/relationships/hyperlink" Target="https://www.andrafarm.com/_andra.php?_i=daftar-tkpi&amp;jobs=&amp;perhal=40&amp;sby=&amp;knama=&amp;asc=0000000010&amp;urut=8" TargetMode="External"/><Relationship Id="rId148" Type="http://schemas.openxmlformats.org/officeDocument/2006/relationships/hyperlink" Target="https://www.andrafarm.com/_andra.php?_i=daftar-tkpi&amp;kmakan=CP008" TargetMode="External"/><Relationship Id="rId269" Type="http://schemas.openxmlformats.org/officeDocument/2006/relationships/hyperlink" Target="https://www.andrafarm.com/_andra.php?_i=daftar-usda&amp;kmakan=09040" TargetMode="External"/><Relationship Id="rId9" Type="http://schemas.openxmlformats.org/officeDocument/2006/relationships/hyperlink" Target="https://www.andrafarm.com/_andra.php?_i=daftar-tkpi&amp;jobs=&amp;perhal=40&amp;sby=&amp;knama=&amp;asc=0000000100&amp;urut=7" TargetMode="External"/><Relationship Id="rId143" Type="http://schemas.openxmlformats.org/officeDocument/2006/relationships/hyperlink" Target="https://www.andrafarm.com/_andra.php?_i=daftar-tkpi&amp;kmakan=CP007" TargetMode="External"/><Relationship Id="rId264" Type="http://schemas.openxmlformats.org/officeDocument/2006/relationships/hyperlink" Target="https://www.andrafarm.com/_andra.php?_i=daftar-usda&amp;kmakan=09252" TargetMode="External"/><Relationship Id="rId142" Type="http://schemas.openxmlformats.org/officeDocument/2006/relationships/hyperlink" Target="https://www.andrafarm.com/_andra.php?_i=daftar-tkpi&amp;kmakan=CP007" TargetMode="External"/><Relationship Id="rId263" Type="http://schemas.openxmlformats.org/officeDocument/2006/relationships/hyperlink" Target="https://www.andrafarm.com/_andra.php?_i=daftar-usda&amp;kmakan=09252" TargetMode="External"/><Relationship Id="rId141" Type="http://schemas.openxmlformats.org/officeDocument/2006/relationships/hyperlink" Target="https://www.andrafarm.com/_andra.php?_i=daftar-tkpi&amp;kmakan=CP007" TargetMode="External"/><Relationship Id="rId262" Type="http://schemas.openxmlformats.org/officeDocument/2006/relationships/hyperlink" Target="https://www.andrafarm.com/_andra.php?_i=daftar-usda&amp;kmakan=09252" TargetMode="External"/><Relationship Id="rId140" Type="http://schemas.openxmlformats.org/officeDocument/2006/relationships/hyperlink" Target="https://www.andrafarm.com/_andra.php?_i=daftar-tkpi&amp;kmakan=CP007" TargetMode="External"/><Relationship Id="rId261" Type="http://schemas.openxmlformats.org/officeDocument/2006/relationships/hyperlink" Target="https://www.andrafarm.com/_andra.php?_i=daftar-usda&amp;kmakan=09252" TargetMode="External"/><Relationship Id="rId5" Type="http://schemas.openxmlformats.org/officeDocument/2006/relationships/hyperlink" Target="https://www.andrafarm.com/_andra.php?_i=daftar-tkpi&amp;jobs=&amp;perhal=40&amp;sby=&amp;knama=&amp;asc=0000000001&amp;urut=9" TargetMode="External"/><Relationship Id="rId147" Type="http://schemas.openxmlformats.org/officeDocument/2006/relationships/hyperlink" Target="https://www.andrafarm.com/_andra.php?_i=daftar-tkpi&amp;kmakan=CP008" TargetMode="External"/><Relationship Id="rId268" Type="http://schemas.openxmlformats.org/officeDocument/2006/relationships/hyperlink" Target="https://www.andrafarm.com/_andra.php?_i=daftar-usda&amp;kmakan=09040" TargetMode="External"/><Relationship Id="rId6" Type="http://schemas.openxmlformats.org/officeDocument/2006/relationships/hyperlink" Target="https://www.andrafarm.com/_andra.php?_i=daftar-tkpi&amp;jobs=&amp;perhal=40&amp;sby=&amp;knama=&amp;asc=0000100000&amp;urut=14" TargetMode="External"/><Relationship Id="rId146" Type="http://schemas.openxmlformats.org/officeDocument/2006/relationships/hyperlink" Target="https://www.andrafarm.com/_andra.php?_i=daftar-tkpi&amp;kmakan=CP008" TargetMode="External"/><Relationship Id="rId267" Type="http://schemas.openxmlformats.org/officeDocument/2006/relationships/hyperlink" Target="https://www.andrafarm.com/_andra.php?_i=daftar-usda&amp;kmakan=09040" TargetMode="External"/><Relationship Id="rId7" Type="http://schemas.openxmlformats.org/officeDocument/2006/relationships/hyperlink" Target="https://www.andrafarm.com/_andra.php?_i=daftar-tkpi&amp;jobs=&amp;perhal=40&amp;sby=&amp;knama=&amp;asc=0010000000&amp;urut=2" TargetMode="External"/><Relationship Id="rId145" Type="http://schemas.openxmlformats.org/officeDocument/2006/relationships/hyperlink" Target="https://www.andrafarm.com/_andra.php?_i=daftar-tkpi&amp;kmakan=CP008" TargetMode="External"/><Relationship Id="rId266" Type="http://schemas.openxmlformats.org/officeDocument/2006/relationships/hyperlink" Target="https://www.andrafarm.com/_andra.php?_i=daftar-usda&amp;kmakan=09040" TargetMode="External"/><Relationship Id="rId8" Type="http://schemas.openxmlformats.org/officeDocument/2006/relationships/hyperlink" Target="https://www.andrafarm.com/_andra.php?_i=daftar-tkpi&amp;jobs=&amp;perhal=40&amp;sby=&amp;knama=&amp;asc=0000001000&amp;urut=6" TargetMode="External"/><Relationship Id="rId144" Type="http://schemas.openxmlformats.org/officeDocument/2006/relationships/hyperlink" Target="https://www.andrafarm.com/_andra.php?_i=daftar-tkpi&amp;kmakan=CP007" TargetMode="External"/><Relationship Id="rId265" Type="http://schemas.openxmlformats.org/officeDocument/2006/relationships/hyperlink" Target="https://www.andrafarm.com/_andra.php?_i=daftar-usda&amp;kmakan=09040" TargetMode="External"/><Relationship Id="rId73" Type="http://schemas.openxmlformats.org/officeDocument/2006/relationships/hyperlink" Target="https://www.andrafarm.com/_andra.php?_i=daftar-tkpi&amp;kmakan=BP004" TargetMode="External"/><Relationship Id="rId72" Type="http://schemas.openxmlformats.org/officeDocument/2006/relationships/hyperlink" Target="https://www.andrafarm.com/_andra.php?_i=daftar-tkpi&amp;kmakan=BP004" TargetMode="External"/><Relationship Id="rId75" Type="http://schemas.openxmlformats.org/officeDocument/2006/relationships/hyperlink" Target="https://www.andrafarm.com/_andra.php?_i=daftar-tkpi&amp;kmakan=BP008" TargetMode="External"/><Relationship Id="rId74" Type="http://schemas.openxmlformats.org/officeDocument/2006/relationships/hyperlink" Target="https://www.andrafarm.com/_andra.php?_i=daftar-tkpi&amp;kmakan=BP004" TargetMode="External"/><Relationship Id="rId77" Type="http://schemas.openxmlformats.org/officeDocument/2006/relationships/hyperlink" Target="https://www.andrafarm.com/_andra.php?_i=daftar-tkpi&amp;kmakan=BP008" TargetMode="External"/><Relationship Id="rId260" Type="http://schemas.openxmlformats.org/officeDocument/2006/relationships/hyperlink" Target="https://www.andrafarm.com/_andra.php?_i=daftar-usda&amp;kmakan=09252" TargetMode="External"/><Relationship Id="rId76" Type="http://schemas.openxmlformats.org/officeDocument/2006/relationships/hyperlink" Target="https://www.andrafarm.com/_andra.php?_i=daftar-tkpi&amp;kmakan=BP008" TargetMode="External"/><Relationship Id="rId79" Type="http://schemas.openxmlformats.org/officeDocument/2006/relationships/hyperlink" Target="https://www.andrafarm.com/_andra.php?_i=daftar-tkpi&amp;kmakan=BP008" TargetMode="External"/><Relationship Id="rId78" Type="http://schemas.openxmlformats.org/officeDocument/2006/relationships/hyperlink" Target="https://www.andrafarm.com/_andra.php?_i=daftar-tkpi&amp;kmakan=BP008" TargetMode="External"/><Relationship Id="rId71" Type="http://schemas.openxmlformats.org/officeDocument/2006/relationships/hyperlink" Target="https://www.andrafarm.com/_andra.php?_i=daftar-tkpi&amp;kmakan=BP004" TargetMode="External"/><Relationship Id="rId70" Type="http://schemas.openxmlformats.org/officeDocument/2006/relationships/hyperlink" Target="https://www.andrafarm.com/_andra.php?_i=daftar-tkpi&amp;kmakan=BP004" TargetMode="External"/><Relationship Id="rId139" Type="http://schemas.openxmlformats.org/officeDocument/2006/relationships/hyperlink" Target="https://www.andrafarm.com/_andra.php?_i=daftar-tkpi&amp;kmakan=CP006" TargetMode="External"/><Relationship Id="rId138" Type="http://schemas.openxmlformats.org/officeDocument/2006/relationships/hyperlink" Target="https://www.andrafarm.com/_andra.php?_i=daftar-tkpi&amp;kmakan=CP006" TargetMode="External"/><Relationship Id="rId259" Type="http://schemas.openxmlformats.org/officeDocument/2006/relationships/hyperlink" Target="https://www.andrafarm.com/_andra.php?_i=daftar-usda&amp;kmakan=09226" TargetMode="External"/><Relationship Id="rId137" Type="http://schemas.openxmlformats.org/officeDocument/2006/relationships/hyperlink" Target="https://www.andrafarm.com/_andra.php?_i=daftar-tkpi&amp;kmakan=CP006" TargetMode="External"/><Relationship Id="rId258" Type="http://schemas.openxmlformats.org/officeDocument/2006/relationships/hyperlink" Target="https://www.andrafarm.com/_andra.php?_i=daftar-usda&amp;kmakan=09226" TargetMode="External"/><Relationship Id="rId132" Type="http://schemas.openxmlformats.org/officeDocument/2006/relationships/hyperlink" Target="https://www.andrafarm.com/_andra.php?_i=daftar-tkpi&amp;kmakan=CP005" TargetMode="External"/><Relationship Id="rId253" Type="http://schemas.openxmlformats.org/officeDocument/2006/relationships/hyperlink" Target="https://www.andrafarm.com/_andra.php?_i=daftar-usda&amp;kmakan=09139" TargetMode="External"/><Relationship Id="rId131" Type="http://schemas.openxmlformats.org/officeDocument/2006/relationships/hyperlink" Target="https://www.andrafarm.com/_andra.php?_i=daftar-tkpi&amp;kmakan=CP005" TargetMode="External"/><Relationship Id="rId252" Type="http://schemas.openxmlformats.org/officeDocument/2006/relationships/hyperlink" Target="https://www.andrafarm.com/_andra.php?_i=daftar-usda&amp;kmakan=09139" TargetMode="External"/><Relationship Id="rId130" Type="http://schemas.openxmlformats.org/officeDocument/2006/relationships/hyperlink" Target="https://www.andrafarm.com/_andra.php?_i=daftar-tkpi&amp;kmakan=CP005" TargetMode="External"/><Relationship Id="rId251" Type="http://schemas.openxmlformats.org/officeDocument/2006/relationships/hyperlink" Target="https://www.andrafarm.com/_andra.php?_i=daftar-usda&amp;kmakan=09139" TargetMode="External"/><Relationship Id="rId250" Type="http://schemas.openxmlformats.org/officeDocument/2006/relationships/hyperlink" Target="https://www.andrafarm.com/_andra.php?_i=daftar-usda&amp;kmakan=09139" TargetMode="External"/><Relationship Id="rId136" Type="http://schemas.openxmlformats.org/officeDocument/2006/relationships/hyperlink" Target="https://www.andrafarm.com/_andra.php?_i=daftar-tkpi&amp;kmakan=CP006" TargetMode="External"/><Relationship Id="rId257" Type="http://schemas.openxmlformats.org/officeDocument/2006/relationships/hyperlink" Target="https://www.andrafarm.com/_andra.php?_i=daftar-usda&amp;kmakan=09226" TargetMode="External"/><Relationship Id="rId135" Type="http://schemas.openxmlformats.org/officeDocument/2006/relationships/hyperlink" Target="https://www.andrafarm.com/_andra.php?_i=daftar-tkpi&amp;kmakan=CP006" TargetMode="External"/><Relationship Id="rId256" Type="http://schemas.openxmlformats.org/officeDocument/2006/relationships/hyperlink" Target="https://www.andrafarm.com/_andra.php?_i=daftar-usda&amp;kmakan=09226" TargetMode="External"/><Relationship Id="rId134" Type="http://schemas.openxmlformats.org/officeDocument/2006/relationships/hyperlink" Target="https://www.andrafarm.com/_andra.php?_i=daftar-tkpi&amp;kmakan=CP005" TargetMode="External"/><Relationship Id="rId255" Type="http://schemas.openxmlformats.org/officeDocument/2006/relationships/hyperlink" Target="https://www.andrafarm.com/_andra.php?_i=daftar-usda&amp;kmakan=09226" TargetMode="External"/><Relationship Id="rId133" Type="http://schemas.openxmlformats.org/officeDocument/2006/relationships/hyperlink" Target="https://www.andrafarm.com/_andra.php?_i=daftar-tkpi&amp;kmakan=CP005" TargetMode="External"/><Relationship Id="rId254" Type="http://schemas.openxmlformats.org/officeDocument/2006/relationships/hyperlink" Target="https://www.andrafarm.com/_andra.php?_i=daftar-usda&amp;kmakan=09139" TargetMode="External"/><Relationship Id="rId62" Type="http://schemas.openxmlformats.org/officeDocument/2006/relationships/hyperlink" Target="https://www.andrafarm.com/_andra.php?_i=daftar-tkpi&amp;kmakan=BP002" TargetMode="External"/><Relationship Id="rId61" Type="http://schemas.openxmlformats.org/officeDocument/2006/relationships/hyperlink" Target="https://www.andrafarm.com/_andra.php?_i=daftar-tkpi&amp;kmakan=BP002" TargetMode="External"/><Relationship Id="rId64" Type="http://schemas.openxmlformats.org/officeDocument/2006/relationships/hyperlink" Target="https://www.andrafarm.com/_andra.php?_i=daftar-tkpi&amp;kmakan=BP002" TargetMode="External"/><Relationship Id="rId63" Type="http://schemas.openxmlformats.org/officeDocument/2006/relationships/hyperlink" Target="https://www.andrafarm.com/_andra.php?_i=daftar-tkpi&amp;kmakan=BP002" TargetMode="External"/><Relationship Id="rId66" Type="http://schemas.openxmlformats.org/officeDocument/2006/relationships/hyperlink" Target="https://www.andrafarm.com/_andra.php?_i=daftar-tkpi&amp;kmakan=BP003" TargetMode="External"/><Relationship Id="rId172" Type="http://schemas.openxmlformats.org/officeDocument/2006/relationships/hyperlink" Target="https://www.andrafarm.com/_andra.php?_i=daftar-tkpi&amp;kmakan=CP025" TargetMode="External"/><Relationship Id="rId65" Type="http://schemas.openxmlformats.org/officeDocument/2006/relationships/hyperlink" Target="https://www.andrafarm.com/_andra.php?_i=daftar-tkpi&amp;kmakan=BP003" TargetMode="External"/><Relationship Id="rId171" Type="http://schemas.openxmlformats.org/officeDocument/2006/relationships/hyperlink" Target="https://www.andrafarm.com/_andra.php?_i=daftar-tkpi&amp;kmakan=CP025" TargetMode="External"/><Relationship Id="rId68" Type="http://schemas.openxmlformats.org/officeDocument/2006/relationships/hyperlink" Target="https://www.andrafarm.com/_andra.php?_i=daftar-tkpi&amp;kmakan=BP003" TargetMode="External"/><Relationship Id="rId170" Type="http://schemas.openxmlformats.org/officeDocument/2006/relationships/hyperlink" Target="https://www.andrafarm.com/_andra.php?_i=daftar-tkpi&amp;kmakan=CP025" TargetMode="External"/><Relationship Id="rId67" Type="http://schemas.openxmlformats.org/officeDocument/2006/relationships/hyperlink" Target="https://www.andrafarm.com/_andra.php?_i=daftar-tkpi&amp;kmakan=BP003" TargetMode="External"/><Relationship Id="rId60" Type="http://schemas.openxmlformats.org/officeDocument/2006/relationships/hyperlink" Target="https://www.andrafarm.com/_andra.php?_i=daftar-tkpi&amp;kmakan=BP002" TargetMode="External"/><Relationship Id="rId165" Type="http://schemas.openxmlformats.org/officeDocument/2006/relationships/hyperlink" Target="https://www.andrafarm.com/_andra.php?_i=daftar-tkpi&amp;kmakan=CP023" TargetMode="External"/><Relationship Id="rId69" Type="http://schemas.openxmlformats.org/officeDocument/2006/relationships/hyperlink" Target="https://www.andrafarm.com/_andra.php?_i=daftar-tkpi&amp;kmakan=BP003" TargetMode="External"/><Relationship Id="rId164" Type="http://schemas.openxmlformats.org/officeDocument/2006/relationships/hyperlink" Target="https://www.andrafarm.com/_andra.php?_i=daftar-tkpi&amp;kmakan=CP011" TargetMode="External"/><Relationship Id="rId285" Type="http://schemas.openxmlformats.org/officeDocument/2006/relationships/drawing" Target="../drawings/drawing6.xml"/><Relationship Id="rId163" Type="http://schemas.openxmlformats.org/officeDocument/2006/relationships/hyperlink" Target="https://www.andrafarm.com/_andra.php?_i=daftar-tkpi&amp;kmakan=CP011" TargetMode="External"/><Relationship Id="rId284" Type="http://schemas.openxmlformats.org/officeDocument/2006/relationships/hyperlink" Target="https://www.andrafarm.com/_andra.php?_i=daftar-usda&amp;kmakan=11464" TargetMode="External"/><Relationship Id="rId162" Type="http://schemas.openxmlformats.org/officeDocument/2006/relationships/hyperlink" Target="https://www.andrafarm.com/_andra.php?_i=daftar-tkpi&amp;kmakan=CP011" TargetMode="External"/><Relationship Id="rId283" Type="http://schemas.openxmlformats.org/officeDocument/2006/relationships/hyperlink" Target="https://www.andrafarm.com/_andra.php?_i=daftar-usda&amp;kmakan=11464" TargetMode="External"/><Relationship Id="rId169" Type="http://schemas.openxmlformats.org/officeDocument/2006/relationships/hyperlink" Target="https://www.andrafarm.com/_andra.php?_i=daftar-tkpi&amp;kmakan=CP023" TargetMode="External"/><Relationship Id="rId168" Type="http://schemas.openxmlformats.org/officeDocument/2006/relationships/hyperlink" Target="https://www.andrafarm.com/_andra.php?_i=daftar-tkpi&amp;kmakan=CP023" TargetMode="External"/><Relationship Id="rId167" Type="http://schemas.openxmlformats.org/officeDocument/2006/relationships/hyperlink" Target="https://www.andrafarm.com/_andra.php?_i=daftar-tkpi&amp;kmakan=CP023" TargetMode="External"/><Relationship Id="rId166" Type="http://schemas.openxmlformats.org/officeDocument/2006/relationships/hyperlink" Target="https://www.andrafarm.com/_andra.php?_i=daftar-tkpi&amp;kmakan=CP023" TargetMode="External"/><Relationship Id="rId51" Type="http://schemas.openxmlformats.org/officeDocument/2006/relationships/hyperlink" Target="https://www.andrafarm.com/_andra.php?_i=daftar-tkpi&amp;kmakan=AR005" TargetMode="External"/><Relationship Id="rId50" Type="http://schemas.openxmlformats.org/officeDocument/2006/relationships/hyperlink" Target="https://www.andrafarm.com/_andra.php?_i=daftar-tkpi&amp;kmakan=AR005" TargetMode="External"/><Relationship Id="rId53" Type="http://schemas.openxmlformats.org/officeDocument/2006/relationships/hyperlink" Target="https://www.andrafarm.com/_andra.php?_i=daftar-tkpi&amp;kmakan=AR005" TargetMode="External"/><Relationship Id="rId52" Type="http://schemas.openxmlformats.org/officeDocument/2006/relationships/hyperlink" Target="https://www.andrafarm.com/_andra.php?_i=daftar-tkpi&amp;kmakan=AR005" TargetMode="External"/><Relationship Id="rId55" Type="http://schemas.openxmlformats.org/officeDocument/2006/relationships/hyperlink" Target="https://www.andrafarm.com/_andra.php?_i=daftar-tkpi&amp;kmakan=BP001" TargetMode="External"/><Relationship Id="rId161" Type="http://schemas.openxmlformats.org/officeDocument/2006/relationships/hyperlink" Target="https://www.andrafarm.com/_andra.php?_i=daftar-tkpi&amp;kmakan=CP011" TargetMode="External"/><Relationship Id="rId282" Type="http://schemas.openxmlformats.org/officeDocument/2006/relationships/hyperlink" Target="https://www.andrafarm.com/_andra.php?_i=daftar-usda&amp;kmakan=11464" TargetMode="External"/><Relationship Id="rId54" Type="http://schemas.openxmlformats.org/officeDocument/2006/relationships/hyperlink" Target="https://www.andrafarm.com/_andra.php?_i=daftar-tkpi&amp;kmakan=BP001" TargetMode="External"/><Relationship Id="rId160" Type="http://schemas.openxmlformats.org/officeDocument/2006/relationships/hyperlink" Target="https://www.andrafarm.com/_andra.php?_i=daftar-tkpi&amp;kmakan=CP011" TargetMode="External"/><Relationship Id="rId281" Type="http://schemas.openxmlformats.org/officeDocument/2006/relationships/hyperlink" Target="https://www.andrafarm.com/_andra.php?_i=daftar-usda&amp;kmakan=11464" TargetMode="External"/><Relationship Id="rId57" Type="http://schemas.openxmlformats.org/officeDocument/2006/relationships/hyperlink" Target="https://www.andrafarm.com/_andra.php?_i=daftar-tkpi&amp;kmakan=BP001" TargetMode="External"/><Relationship Id="rId280" Type="http://schemas.openxmlformats.org/officeDocument/2006/relationships/hyperlink" Target="https://www.andrafarm.com/_andra.php?_i=daftar-usda&amp;kmakan=11464" TargetMode="External"/><Relationship Id="rId56" Type="http://schemas.openxmlformats.org/officeDocument/2006/relationships/hyperlink" Target="https://www.andrafarm.com/_andra.php?_i=daftar-tkpi&amp;kmakan=BP001" TargetMode="External"/><Relationship Id="rId159" Type="http://schemas.openxmlformats.org/officeDocument/2006/relationships/hyperlink" Target="https://www.andrafarm.com/_andra.php?_i=daftar-tkpi&amp;kmakan=CP010" TargetMode="External"/><Relationship Id="rId59" Type="http://schemas.openxmlformats.org/officeDocument/2006/relationships/hyperlink" Target="https://www.andrafarm.com/_andra.php?_i=daftar-tkpi&amp;kmakan=BP001" TargetMode="External"/><Relationship Id="rId154" Type="http://schemas.openxmlformats.org/officeDocument/2006/relationships/hyperlink" Target="https://www.andrafarm.com/_andra.php?_i=daftar-tkpi&amp;kmakan=CP009" TargetMode="External"/><Relationship Id="rId275" Type="http://schemas.openxmlformats.org/officeDocument/2006/relationships/hyperlink" Target="https://www.andrafarm.com/_andra.php?_i=daftar-usda&amp;kmakan=11856" TargetMode="External"/><Relationship Id="rId58" Type="http://schemas.openxmlformats.org/officeDocument/2006/relationships/hyperlink" Target="https://www.andrafarm.com/_andra.php?_i=daftar-tkpi&amp;kmakan=BP001" TargetMode="External"/><Relationship Id="rId153" Type="http://schemas.openxmlformats.org/officeDocument/2006/relationships/hyperlink" Target="https://www.andrafarm.com/_andra.php?_i=daftar-tkpi&amp;kmakan=CP009" TargetMode="External"/><Relationship Id="rId274" Type="http://schemas.openxmlformats.org/officeDocument/2006/relationships/hyperlink" Target="https://www.andrafarm.com/_andra.php?_i=daftar-usda&amp;kmakan=09325" TargetMode="External"/><Relationship Id="rId152" Type="http://schemas.openxmlformats.org/officeDocument/2006/relationships/hyperlink" Target="https://www.andrafarm.com/_andra.php?_i=daftar-tkpi&amp;kmakan=CP009" TargetMode="External"/><Relationship Id="rId273" Type="http://schemas.openxmlformats.org/officeDocument/2006/relationships/hyperlink" Target="https://www.andrafarm.com/_andra.php?_i=daftar-usda&amp;kmakan=09325" TargetMode="External"/><Relationship Id="rId151" Type="http://schemas.openxmlformats.org/officeDocument/2006/relationships/hyperlink" Target="https://www.andrafarm.com/_andra.php?_i=daftar-tkpi&amp;kmakan=CP009" TargetMode="External"/><Relationship Id="rId272" Type="http://schemas.openxmlformats.org/officeDocument/2006/relationships/hyperlink" Target="https://www.andrafarm.com/_andra.php?_i=daftar-usda&amp;kmakan=09325" TargetMode="External"/><Relationship Id="rId158" Type="http://schemas.openxmlformats.org/officeDocument/2006/relationships/hyperlink" Target="https://www.andrafarm.com/_andra.php?_i=daftar-tkpi&amp;kmakan=CP010" TargetMode="External"/><Relationship Id="rId279" Type="http://schemas.openxmlformats.org/officeDocument/2006/relationships/hyperlink" Target="https://www.andrafarm.com/_andra.php?_i=daftar-usda&amp;kmakan=11856" TargetMode="External"/><Relationship Id="rId157" Type="http://schemas.openxmlformats.org/officeDocument/2006/relationships/hyperlink" Target="https://www.andrafarm.com/_andra.php?_i=daftar-tkpi&amp;kmakan=CP010" TargetMode="External"/><Relationship Id="rId278" Type="http://schemas.openxmlformats.org/officeDocument/2006/relationships/hyperlink" Target="https://www.andrafarm.com/_andra.php?_i=daftar-usda&amp;kmakan=11856" TargetMode="External"/><Relationship Id="rId156" Type="http://schemas.openxmlformats.org/officeDocument/2006/relationships/hyperlink" Target="https://www.andrafarm.com/_andra.php?_i=daftar-tkpi&amp;kmakan=CP010" TargetMode="External"/><Relationship Id="rId277" Type="http://schemas.openxmlformats.org/officeDocument/2006/relationships/hyperlink" Target="https://www.andrafarm.com/_andra.php?_i=daftar-usda&amp;kmakan=11856" TargetMode="External"/><Relationship Id="rId155" Type="http://schemas.openxmlformats.org/officeDocument/2006/relationships/hyperlink" Target="https://www.andrafarm.com/_andra.php?_i=daftar-tkpi&amp;kmakan=CP010" TargetMode="External"/><Relationship Id="rId276" Type="http://schemas.openxmlformats.org/officeDocument/2006/relationships/hyperlink" Target="https://www.andrafarm.com/_andra.php?_i=daftar-usda&amp;kmakan=11856" TargetMode="External"/><Relationship Id="rId107" Type="http://schemas.openxmlformats.org/officeDocument/2006/relationships/hyperlink" Target="https://www.andrafarm.com/_andra.php?_i=daftar-tkpi&amp;kmakan=BP039" TargetMode="External"/><Relationship Id="rId228" Type="http://schemas.openxmlformats.org/officeDocument/2006/relationships/hyperlink" Target="https://www.andrafarm.com/_andra.php?_i=daftar-usda&amp;kmakan=22940" TargetMode="External"/><Relationship Id="rId106" Type="http://schemas.openxmlformats.org/officeDocument/2006/relationships/hyperlink" Target="https://www.andrafarm.com/_andra.php?_i=daftar-tkpi&amp;kmakan=BP039" TargetMode="External"/><Relationship Id="rId227" Type="http://schemas.openxmlformats.org/officeDocument/2006/relationships/hyperlink" Target="https://www.andrafarm.com/_andra.php?_i=daftar-usda&amp;kmakan=22940" TargetMode="External"/><Relationship Id="rId105" Type="http://schemas.openxmlformats.org/officeDocument/2006/relationships/hyperlink" Target="https://www.andrafarm.com/_andra.php?_i=daftar-tkpi&amp;kmakan=BP039" TargetMode="External"/><Relationship Id="rId226" Type="http://schemas.openxmlformats.org/officeDocument/2006/relationships/hyperlink" Target="https://www.andrafarm.com/_andra.php?_i=daftar-usda&amp;kmakan=22940" TargetMode="External"/><Relationship Id="rId104" Type="http://schemas.openxmlformats.org/officeDocument/2006/relationships/hyperlink" Target="https://www.andrafarm.com/_andra.php?_i=daftar-tkpi&amp;kmakan=BP036" TargetMode="External"/><Relationship Id="rId225" Type="http://schemas.openxmlformats.org/officeDocument/2006/relationships/hyperlink" Target="https://www.andrafarm.com/_andra.php?_i=daftar-usda&amp;kmakan=22940" TargetMode="External"/><Relationship Id="rId109" Type="http://schemas.openxmlformats.org/officeDocument/2006/relationships/hyperlink" Target="https://www.andrafarm.com/_andra.php?_i=daftar-tkpi&amp;kmakan=BP039" TargetMode="External"/><Relationship Id="rId108" Type="http://schemas.openxmlformats.org/officeDocument/2006/relationships/hyperlink" Target="https://www.andrafarm.com/_andra.php?_i=daftar-tkpi&amp;kmakan=BP039" TargetMode="External"/><Relationship Id="rId229" Type="http://schemas.openxmlformats.org/officeDocument/2006/relationships/hyperlink" Target="https://www.andrafarm.com/_andra.php?_i=daftar-usda&amp;kmakan=22940" TargetMode="External"/><Relationship Id="rId220" Type="http://schemas.openxmlformats.org/officeDocument/2006/relationships/hyperlink" Target="https://www.andrafarm.com/_andra.php?_i=daftar-usda&amp;kmakan=22971" TargetMode="External"/><Relationship Id="rId103" Type="http://schemas.openxmlformats.org/officeDocument/2006/relationships/hyperlink" Target="https://www.andrafarm.com/_andra.php?_i=daftar-tkpi&amp;kmakan=BP036" TargetMode="External"/><Relationship Id="rId224" Type="http://schemas.openxmlformats.org/officeDocument/2006/relationships/hyperlink" Target="https://www.andrafarm.com/_andra.php?_i=daftar-usda&amp;kmakan=22971" TargetMode="External"/><Relationship Id="rId102" Type="http://schemas.openxmlformats.org/officeDocument/2006/relationships/hyperlink" Target="https://www.andrafarm.com/_andra.php?_i=daftar-tkpi&amp;kmakan=BP036" TargetMode="External"/><Relationship Id="rId223" Type="http://schemas.openxmlformats.org/officeDocument/2006/relationships/hyperlink" Target="https://www.andrafarm.com/_andra.php?_i=daftar-usda&amp;kmakan=22971" TargetMode="External"/><Relationship Id="rId101" Type="http://schemas.openxmlformats.org/officeDocument/2006/relationships/hyperlink" Target="https://www.andrafarm.com/_andra.php?_i=daftar-tkpi&amp;kmakan=BP036" TargetMode="External"/><Relationship Id="rId222" Type="http://schemas.openxmlformats.org/officeDocument/2006/relationships/hyperlink" Target="https://www.andrafarm.com/_andra.php?_i=daftar-usda&amp;kmakan=22971" TargetMode="External"/><Relationship Id="rId100" Type="http://schemas.openxmlformats.org/officeDocument/2006/relationships/hyperlink" Target="https://www.andrafarm.com/_andra.php?_i=daftar-tkpi&amp;kmakan=BP036" TargetMode="External"/><Relationship Id="rId221" Type="http://schemas.openxmlformats.org/officeDocument/2006/relationships/hyperlink" Target="https://www.andrafarm.com/_andra.php?_i=daftar-usda&amp;kmakan=22971" TargetMode="External"/><Relationship Id="rId217" Type="http://schemas.openxmlformats.org/officeDocument/2006/relationships/hyperlink" Target="https://www.andrafarm.com/_andra.php?_i=daftar-usda&amp;kmakan=32001" TargetMode="External"/><Relationship Id="rId216" Type="http://schemas.openxmlformats.org/officeDocument/2006/relationships/hyperlink" Target="https://www.andrafarm.com/_andra.php?_i=daftar-usda&amp;kmakan=32001" TargetMode="External"/><Relationship Id="rId215" Type="http://schemas.openxmlformats.org/officeDocument/2006/relationships/hyperlink" Target="https://www.andrafarm.com/_andra.php?_i=daftar-usda&amp;kmakan=32001" TargetMode="External"/><Relationship Id="rId214" Type="http://schemas.openxmlformats.org/officeDocument/2006/relationships/hyperlink" Target="https://www.andrafarm.com/_andra.php?_i=daftar-tkpi&amp;kmakan=CP083" TargetMode="External"/><Relationship Id="rId219" Type="http://schemas.openxmlformats.org/officeDocument/2006/relationships/hyperlink" Target="https://www.andrafarm.com/_andra.php?_i=daftar-usda&amp;kmakan=32001" TargetMode="External"/><Relationship Id="rId218" Type="http://schemas.openxmlformats.org/officeDocument/2006/relationships/hyperlink" Target="https://www.andrafarm.com/_andra.php?_i=daftar-usda&amp;kmakan=32001" TargetMode="External"/><Relationship Id="rId213" Type="http://schemas.openxmlformats.org/officeDocument/2006/relationships/hyperlink" Target="https://www.andrafarm.com/_andra.php?_i=daftar-tkpi&amp;kmakan=CP083" TargetMode="External"/><Relationship Id="rId212" Type="http://schemas.openxmlformats.org/officeDocument/2006/relationships/hyperlink" Target="https://www.andrafarm.com/_andra.php?_i=daftar-tkpi&amp;kmakan=CP083" TargetMode="External"/><Relationship Id="rId211" Type="http://schemas.openxmlformats.org/officeDocument/2006/relationships/hyperlink" Target="https://www.andrafarm.com/_andra.php?_i=daftar-tkpi&amp;kmakan=CP083" TargetMode="External"/><Relationship Id="rId210" Type="http://schemas.openxmlformats.org/officeDocument/2006/relationships/hyperlink" Target="https://www.andrafarm.com/_andra.php?_i=daftar-tkpi&amp;kmakan=CP083" TargetMode="External"/><Relationship Id="rId129" Type="http://schemas.openxmlformats.org/officeDocument/2006/relationships/hyperlink" Target="https://www.andrafarm.com/_andra.php?_i=daftar-tkpi&amp;kmakan=BP054" TargetMode="External"/><Relationship Id="rId128" Type="http://schemas.openxmlformats.org/officeDocument/2006/relationships/hyperlink" Target="https://www.andrafarm.com/_andra.php?_i=daftar-tkpi&amp;kmakan=BP054" TargetMode="External"/><Relationship Id="rId249" Type="http://schemas.openxmlformats.org/officeDocument/2006/relationships/hyperlink" Target="https://www.andrafarm.com/_andra.php?_i=daftar-usda&amp;kmakan=09286" TargetMode="External"/><Relationship Id="rId127" Type="http://schemas.openxmlformats.org/officeDocument/2006/relationships/hyperlink" Target="https://www.andrafarm.com/_andra.php?_i=daftar-tkpi&amp;kmakan=BP054" TargetMode="External"/><Relationship Id="rId248" Type="http://schemas.openxmlformats.org/officeDocument/2006/relationships/hyperlink" Target="https://www.andrafarm.com/_andra.php?_i=daftar-usda&amp;kmakan=09286" TargetMode="External"/><Relationship Id="rId126" Type="http://schemas.openxmlformats.org/officeDocument/2006/relationships/hyperlink" Target="https://www.andrafarm.com/_andra.php?_i=daftar-tkpi&amp;kmakan=BP054" TargetMode="External"/><Relationship Id="rId247" Type="http://schemas.openxmlformats.org/officeDocument/2006/relationships/hyperlink" Target="https://www.andrafarm.com/_andra.php?_i=daftar-usda&amp;kmakan=09286" TargetMode="External"/><Relationship Id="rId121" Type="http://schemas.openxmlformats.org/officeDocument/2006/relationships/hyperlink" Target="https://www.andrafarm.com/_andra.php?_i=daftar-tkpi&amp;kmakan=BP047" TargetMode="External"/><Relationship Id="rId242" Type="http://schemas.openxmlformats.org/officeDocument/2006/relationships/hyperlink" Target="https://www.andrafarm.com/_andra.php?_i=daftar-usda&amp;kmakan=09037" TargetMode="External"/><Relationship Id="rId120" Type="http://schemas.openxmlformats.org/officeDocument/2006/relationships/hyperlink" Target="https://www.andrafarm.com/_andra.php?_i=daftar-tkpi&amp;kmakan=BP047" TargetMode="External"/><Relationship Id="rId241" Type="http://schemas.openxmlformats.org/officeDocument/2006/relationships/hyperlink" Target="https://www.andrafarm.com/_andra.php?_i=daftar-usda&amp;kmakan=09037" TargetMode="External"/><Relationship Id="rId240" Type="http://schemas.openxmlformats.org/officeDocument/2006/relationships/hyperlink" Target="https://www.andrafarm.com/_andra.php?_i=daftar-usda&amp;kmakan=09037" TargetMode="External"/><Relationship Id="rId125" Type="http://schemas.openxmlformats.org/officeDocument/2006/relationships/hyperlink" Target="https://www.andrafarm.com/_andra.php?_i=daftar-tkpi&amp;kmakan=BP054" TargetMode="External"/><Relationship Id="rId246" Type="http://schemas.openxmlformats.org/officeDocument/2006/relationships/hyperlink" Target="https://www.andrafarm.com/_andra.php?_i=daftar-usda&amp;kmakan=09286" TargetMode="External"/><Relationship Id="rId124" Type="http://schemas.openxmlformats.org/officeDocument/2006/relationships/hyperlink" Target="https://www.andrafarm.com/_andra.php?_i=daftar-tkpi&amp;kmakan=BP047" TargetMode="External"/><Relationship Id="rId245" Type="http://schemas.openxmlformats.org/officeDocument/2006/relationships/hyperlink" Target="https://www.andrafarm.com/_andra.php?_i=daftar-usda&amp;kmakan=09286" TargetMode="External"/><Relationship Id="rId123" Type="http://schemas.openxmlformats.org/officeDocument/2006/relationships/hyperlink" Target="https://www.andrafarm.com/_andra.php?_i=daftar-tkpi&amp;kmakan=BP047" TargetMode="External"/><Relationship Id="rId244" Type="http://schemas.openxmlformats.org/officeDocument/2006/relationships/hyperlink" Target="https://www.andrafarm.com/_andra.php?_i=daftar-usda&amp;kmakan=09037" TargetMode="External"/><Relationship Id="rId122" Type="http://schemas.openxmlformats.org/officeDocument/2006/relationships/hyperlink" Target="https://www.andrafarm.com/_andra.php?_i=daftar-tkpi&amp;kmakan=BP047" TargetMode="External"/><Relationship Id="rId243" Type="http://schemas.openxmlformats.org/officeDocument/2006/relationships/hyperlink" Target="https://www.andrafarm.com/_andra.php?_i=daftar-usda&amp;kmakan=09037" TargetMode="External"/><Relationship Id="rId95" Type="http://schemas.openxmlformats.org/officeDocument/2006/relationships/hyperlink" Target="https://www.andrafarm.com/_andra.php?_i=daftar-tkpi&amp;kmakan=BR031" TargetMode="External"/><Relationship Id="rId94" Type="http://schemas.openxmlformats.org/officeDocument/2006/relationships/hyperlink" Target="https://www.andrafarm.com/_andra.php?_i=daftar-tkpi&amp;kmakan=BR030" TargetMode="External"/><Relationship Id="rId97" Type="http://schemas.openxmlformats.org/officeDocument/2006/relationships/hyperlink" Target="https://www.andrafarm.com/_andra.php?_i=daftar-tkpi&amp;kmakan=BR031" TargetMode="External"/><Relationship Id="rId96" Type="http://schemas.openxmlformats.org/officeDocument/2006/relationships/hyperlink" Target="https://www.andrafarm.com/_andra.php?_i=daftar-tkpi&amp;kmakan=BR031" TargetMode="External"/><Relationship Id="rId99" Type="http://schemas.openxmlformats.org/officeDocument/2006/relationships/hyperlink" Target="https://www.andrafarm.com/_andra.php?_i=daftar-tkpi&amp;kmakan=BR031" TargetMode="External"/><Relationship Id="rId98" Type="http://schemas.openxmlformats.org/officeDocument/2006/relationships/hyperlink" Target="https://www.andrafarm.com/_andra.php?_i=daftar-tkpi&amp;kmakan=BR031" TargetMode="External"/><Relationship Id="rId91" Type="http://schemas.openxmlformats.org/officeDocument/2006/relationships/hyperlink" Target="https://www.andrafarm.com/_andra.php?_i=daftar-tkpi&amp;kmakan=BR030" TargetMode="External"/><Relationship Id="rId90" Type="http://schemas.openxmlformats.org/officeDocument/2006/relationships/hyperlink" Target="https://www.andrafarm.com/_andra.php?_i=daftar-tkpi&amp;kmakan=BR030" TargetMode="External"/><Relationship Id="rId93" Type="http://schemas.openxmlformats.org/officeDocument/2006/relationships/hyperlink" Target="https://www.andrafarm.com/_andra.php?_i=daftar-tkpi&amp;kmakan=BR030" TargetMode="External"/><Relationship Id="rId92" Type="http://schemas.openxmlformats.org/officeDocument/2006/relationships/hyperlink" Target="https://www.andrafarm.com/_andra.php?_i=daftar-tkpi&amp;kmakan=BR030" TargetMode="External"/><Relationship Id="rId118" Type="http://schemas.openxmlformats.org/officeDocument/2006/relationships/hyperlink" Target="https://www.andrafarm.com/_andra.php?_i=daftar-tkpi&amp;kmakan=BP045" TargetMode="External"/><Relationship Id="rId239" Type="http://schemas.openxmlformats.org/officeDocument/2006/relationships/hyperlink" Target="https://www.andrafarm.com/_andra.php?_i=daftar-usda&amp;kmakan=09003" TargetMode="External"/><Relationship Id="rId117" Type="http://schemas.openxmlformats.org/officeDocument/2006/relationships/hyperlink" Target="https://www.andrafarm.com/_andra.php?_i=daftar-tkpi&amp;kmakan=BP045" TargetMode="External"/><Relationship Id="rId238" Type="http://schemas.openxmlformats.org/officeDocument/2006/relationships/hyperlink" Target="https://www.andrafarm.com/_andra.php?_i=daftar-usda&amp;kmakan=09003" TargetMode="External"/><Relationship Id="rId116" Type="http://schemas.openxmlformats.org/officeDocument/2006/relationships/hyperlink" Target="https://www.andrafarm.com/_andra.php?_i=daftar-tkpi&amp;kmakan=BP045" TargetMode="External"/><Relationship Id="rId237" Type="http://schemas.openxmlformats.org/officeDocument/2006/relationships/hyperlink" Target="https://www.andrafarm.com/_andra.php?_i=daftar-usda&amp;kmakan=09003" TargetMode="External"/><Relationship Id="rId115" Type="http://schemas.openxmlformats.org/officeDocument/2006/relationships/hyperlink" Target="https://www.andrafarm.com/_andra.php?_i=daftar-tkpi&amp;kmakan=BP045" TargetMode="External"/><Relationship Id="rId236" Type="http://schemas.openxmlformats.org/officeDocument/2006/relationships/hyperlink" Target="https://www.andrafarm.com/_andra.php?_i=daftar-usda&amp;kmakan=09003" TargetMode="External"/><Relationship Id="rId119" Type="http://schemas.openxmlformats.org/officeDocument/2006/relationships/hyperlink" Target="https://www.andrafarm.com/_andra.php?_i=daftar-tkpi&amp;kmakan=BP045" TargetMode="External"/><Relationship Id="rId110" Type="http://schemas.openxmlformats.org/officeDocument/2006/relationships/hyperlink" Target="https://www.andrafarm.com/_andra.php?_i=daftar-tkpi&amp;kmakan=BP040" TargetMode="External"/><Relationship Id="rId231" Type="http://schemas.openxmlformats.org/officeDocument/2006/relationships/hyperlink" Target="https://www.andrafarm.com/_andra.php?_i=daftar-usda&amp;kmakan=09014" TargetMode="External"/><Relationship Id="rId230" Type="http://schemas.openxmlformats.org/officeDocument/2006/relationships/hyperlink" Target="https://www.andrafarm.com/_andra.php?_i=daftar-usda&amp;kmakan=09014" TargetMode="External"/><Relationship Id="rId114" Type="http://schemas.openxmlformats.org/officeDocument/2006/relationships/hyperlink" Target="https://www.andrafarm.com/_andra.php?_i=daftar-tkpi&amp;kmakan=BP040" TargetMode="External"/><Relationship Id="rId235" Type="http://schemas.openxmlformats.org/officeDocument/2006/relationships/hyperlink" Target="https://www.andrafarm.com/_andra.php?_i=daftar-usda&amp;kmakan=09003" TargetMode="External"/><Relationship Id="rId113" Type="http://schemas.openxmlformats.org/officeDocument/2006/relationships/hyperlink" Target="https://www.andrafarm.com/_andra.php?_i=daftar-tkpi&amp;kmakan=BP040" TargetMode="External"/><Relationship Id="rId234" Type="http://schemas.openxmlformats.org/officeDocument/2006/relationships/hyperlink" Target="https://www.andrafarm.com/_andra.php?_i=daftar-usda&amp;kmakan=09014" TargetMode="External"/><Relationship Id="rId112" Type="http://schemas.openxmlformats.org/officeDocument/2006/relationships/hyperlink" Target="https://www.andrafarm.com/_andra.php?_i=daftar-tkpi&amp;kmakan=BP040" TargetMode="External"/><Relationship Id="rId233" Type="http://schemas.openxmlformats.org/officeDocument/2006/relationships/hyperlink" Target="https://www.andrafarm.com/_andra.php?_i=daftar-usda&amp;kmakan=09014" TargetMode="External"/><Relationship Id="rId111" Type="http://schemas.openxmlformats.org/officeDocument/2006/relationships/hyperlink" Target="https://www.andrafarm.com/_andra.php?_i=daftar-tkpi&amp;kmakan=BP040" TargetMode="External"/><Relationship Id="rId232" Type="http://schemas.openxmlformats.org/officeDocument/2006/relationships/hyperlink" Target="https://www.andrafarm.com/_andra.php?_i=daftar-usda&amp;kmakan=09014" TargetMode="External"/><Relationship Id="rId206" Type="http://schemas.openxmlformats.org/officeDocument/2006/relationships/hyperlink" Target="https://www.andrafarm.com/_andra.php?_i=daftar-tkpi&amp;kmakan=CP063" TargetMode="External"/><Relationship Id="rId205" Type="http://schemas.openxmlformats.org/officeDocument/2006/relationships/hyperlink" Target="https://www.andrafarm.com/_andra.php?_i=daftar-tkpi&amp;kmakan=CP063" TargetMode="External"/><Relationship Id="rId204" Type="http://schemas.openxmlformats.org/officeDocument/2006/relationships/hyperlink" Target="https://www.andrafarm.com/_andra.php?_i=daftar-tkpi&amp;kmakan=CP062" TargetMode="External"/><Relationship Id="rId203" Type="http://schemas.openxmlformats.org/officeDocument/2006/relationships/hyperlink" Target="https://www.andrafarm.com/_andra.php?_i=daftar-tkpi&amp;kmakan=CP062" TargetMode="External"/><Relationship Id="rId209" Type="http://schemas.openxmlformats.org/officeDocument/2006/relationships/hyperlink" Target="https://www.andrafarm.com/_andra.php?_i=daftar-tkpi&amp;kmakan=CP063" TargetMode="External"/><Relationship Id="rId208" Type="http://schemas.openxmlformats.org/officeDocument/2006/relationships/hyperlink" Target="https://www.andrafarm.com/_andra.php?_i=daftar-tkpi&amp;kmakan=CP063" TargetMode="External"/><Relationship Id="rId207" Type="http://schemas.openxmlformats.org/officeDocument/2006/relationships/hyperlink" Target="https://www.andrafarm.com/_andra.php?_i=daftar-tkpi&amp;kmakan=CP063" TargetMode="External"/><Relationship Id="rId202" Type="http://schemas.openxmlformats.org/officeDocument/2006/relationships/hyperlink" Target="https://www.andrafarm.com/_andra.php?_i=daftar-tkpi&amp;kmakan=CP062" TargetMode="External"/><Relationship Id="rId201" Type="http://schemas.openxmlformats.org/officeDocument/2006/relationships/hyperlink" Target="https://www.andrafarm.com/_andra.php?_i=daftar-tkpi&amp;kmakan=CP062" TargetMode="External"/><Relationship Id="rId200" Type="http://schemas.openxmlformats.org/officeDocument/2006/relationships/hyperlink" Target="https://www.andrafarm.com/_andra.php?_i=daftar-tkpi&amp;kmakan=CP062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drafarm.com/_andra.php?_i=daftar-tkpi&amp;kmakan=AP086" TargetMode="External"/><Relationship Id="rId190" Type="http://schemas.openxmlformats.org/officeDocument/2006/relationships/hyperlink" Target="https://www.andrafarm.com/_andra.php?_i=daftar-tkpi&amp;kmakan=CP058" TargetMode="External"/><Relationship Id="rId42" Type="http://schemas.openxmlformats.org/officeDocument/2006/relationships/hyperlink" Target="https://www.andrafarm.com/_andra.php?_i=daftar-tkpi&amp;kmakan=BP039" TargetMode="External"/><Relationship Id="rId41" Type="http://schemas.openxmlformats.org/officeDocument/2006/relationships/hyperlink" Target="https://www.andrafarm.com/_andra.php?_i=daftar-tkpi&amp;kmakan=AP086" TargetMode="External"/><Relationship Id="rId44" Type="http://schemas.openxmlformats.org/officeDocument/2006/relationships/hyperlink" Target="https://www.andrafarm.com/_andra.php?_i=daftar-tkpi&amp;kmakan=AR001" TargetMode="External"/><Relationship Id="rId194" Type="http://schemas.openxmlformats.org/officeDocument/2006/relationships/hyperlink" Target="https://www.andrafarm.com/_andra.php?_i=daftar-tkpi&amp;kmakan=CP058" TargetMode="External"/><Relationship Id="rId43" Type="http://schemas.openxmlformats.org/officeDocument/2006/relationships/hyperlink" Target="https://www.andrafarm.com/_andra.php?_i=daftar-tkpi&amp;kmakan=AR001" TargetMode="External"/><Relationship Id="rId193" Type="http://schemas.openxmlformats.org/officeDocument/2006/relationships/hyperlink" Target="https://www.andrafarm.com/_andra.php?_i=daftar-tkpi&amp;kmakan=CP058" TargetMode="External"/><Relationship Id="rId46" Type="http://schemas.openxmlformats.org/officeDocument/2006/relationships/hyperlink" Target="https://www.andrafarm.com/_andra.php?_i=daftar-tkpi&amp;kmakan=AR001" TargetMode="External"/><Relationship Id="rId192" Type="http://schemas.openxmlformats.org/officeDocument/2006/relationships/hyperlink" Target="https://www.andrafarm.com/_andra.php?_i=daftar-tkpi&amp;kmakan=CP058" TargetMode="External"/><Relationship Id="rId45" Type="http://schemas.openxmlformats.org/officeDocument/2006/relationships/hyperlink" Target="https://www.andrafarm.com/_andra.php?_i=daftar-tkpi&amp;kmakan=AR001" TargetMode="External"/><Relationship Id="rId191" Type="http://schemas.openxmlformats.org/officeDocument/2006/relationships/hyperlink" Target="https://www.andrafarm.com/_andra.php?_i=daftar-tkpi&amp;kmakan=CP058" TargetMode="External"/><Relationship Id="rId48" Type="http://schemas.openxmlformats.org/officeDocument/2006/relationships/hyperlink" Target="https://www.andrafarm.com/_andra.php?_i=daftar-tkpi&amp;kmakan=BP003" TargetMode="External"/><Relationship Id="rId187" Type="http://schemas.openxmlformats.org/officeDocument/2006/relationships/hyperlink" Target="https://www.andrafarm.com/_andra.php?_i=daftar-tkpi&amp;kmakan=CP050" TargetMode="External"/><Relationship Id="rId47" Type="http://schemas.openxmlformats.org/officeDocument/2006/relationships/hyperlink" Target="https://www.andrafarm.com/_andra.php?_i=daftar-tkpi&amp;kmakan=AR001" TargetMode="External"/><Relationship Id="rId186" Type="http://schemas.openxmlformats.org/officeDocument/2006/relationships/hyperlink" Target="https://www.andrafarm.com/_andra.php?_i=daftar-tkpi&amp;kmakan=CP050" TargetMode="External"/><Relationship Id="rId185" Type="http://schemas.openxmlformats.org/officeDocument/2006/relationships/hyperlink" Target="https://www.andrafarm.com/_andra.php?_i=daftar-tkpi&amp;kmakan=CP050" TargetMode="External"/><Relationship Id="rId49" Type="http://schemas.openxmlformats.org/officeDocument/2006/relationships/hyperlink" Target="https://www.andrafarm.com/_andra.php?_i=daftar-tkpi&amp;kmakan=AR005" TargetMode="External"/><Relationship Id="rId184" Type="http://schemas.openxmlformats.org/officeDocument/2006/relationships/hyperlink" Target="https://www.andrafarm.com/_andra.php?_i=daftar-tkpi&amp;kmakan=CP046" TargetMode="External"/><Relationship Id="rId189" Type="http://schemas.openxmlformats.org/officeDocument/2006/relationships/hyperlink" Target="https://www.andrafarm.com/_andra.php?_i=daftar-tkpi&amp;kmakan=CP050" TargetMode="External"/><Relationship Id="rId188" Type="http://schemas.openxmlformats.org/officeDocument/2006/relationships/hyperlink" Target="https://www.andrafarm.com/_andra.php?_i=daftar-tkpi&amp;kmakan=CP050" TargetMode="External"/><Relationship Id="rId31" Type="http://schemas.openxmlformats.org/officeDocument/2006/relationships/hyperlink" Target="https://www.andrafarm.com/_andra.php?_i=daftar-tkpi&amp;kmakan=AP040" TargetMode="External"/><Relationship Id="rId30" Type="http://schemas.openxmlformats.org/officeDocument/2006/relationships/hyperlink" Target="https://www.andrafarm.com/_andra.php?_i=daftar-tkpi&amp;kmakan=AP029" TargetMode="External"/><Relationship Id="rId33" Type="http://schemas.openxmlformats.org/officeDocument/2006/relationships/hyperlink" Target="https://www.andrafarm.com/_andra.php?_i=daftar-tkpi&amp;kmakan=AP040" TargetMode="External"/><Relationship Id="rId183" Type="http://schemas.openxmlformats.org/officeDocument/2006/relationships/hyperlink" Target="https://www.andrafarm.com/_andra.php?_i=daftar-tkpi&amp;kmakan=CP046" TargetMode="External"/><Relationship Id="rId32" Type="http://schemas.openxmlformats.org/officeDocument/2006/relationships/hyperlink" Target="https://www.andrafarm.com/_andra.php?_i=daftar-tkpi&amp;kmakan=AP040" TargetMode="External"/><Relationship Id="rId182" Type="http://schemas.openxmlformats.org/officeDocument/2006/relationships/hyperlink" Target="https://www.andrafarm.com/_andra.php?_i=daftar-tkpi&amp;kmakan=CP046" TargetMode="External"/><Relationship Id="rId35" Type="http://schemas.openxmlformats.org/officeDocument/2006/relationships/hyperlink" Target="https://www.andrafarm.com/_andra.php?_i=daftar-tkpi&amp;kmakan=AP040" TargetMode="External"/><Relationship Id="rId181" Type="http://schemas.openxmlformats.org/officeDocument/2006/relationships/hyperlink" Target="https://www.andrafarm.com/_andra.php?_i=daftar-tkpi&amp;kmakan=CP046" TargetMode="External"/><Relationship Id="rId34" Type="http://schemas.openxmlformats.org/officeDocument/2006/relationships/hyperlink" Target="https://www.andrafarm.com/_andra.php?_i=daftar-tkpi&amp;kmakan=AP040" TargetMode="External"/><Relationship Id="rId180" Type="http://schemas.openxmlformats.org/officeDocument/2006/relationships/hyperlink" Target="https://www.andrafarm.com/_andra.php?_i=daftar-tkpi&amp;kmakan=CP046" TargetMode="External"/><Relationship Id="rId37" Type="http://schemas.openxmlformats.org/officeDocument/2006/relationships/hyperlink" Target="https://www.andrafarm.com/_andra.php?_i=daftar-tkpi&amp;kmakan=AP086" TargetMode="External"/><Relationship Id="rId176" Type="http://schemas.openxmlformats.org/officeDocument/2006/relationships/hyperlink" Target="https://www.andrafarm.com/_andra.php?_i=daftar-tkpi&amp;kmakan=CP036" TargetMode="External"/><Relationship Id="rId36" Type="http://schemas.openxmlformats.org/officeDocument/2006/relationships/hyperlink" Target="https://www.andrafarm.com/_andra.php?_i=daftar-tkpi&amp;kmakan=AR005" TargetMode="External"/><Relationship Id="rId175" Type="http://schemas.openxmlformats.org/officeDocument/2006/relationships/hyperlink" Target="https://www.andrafarm.com/_andra.php?_i=daftar-tkpi&amp;kmakan=CP036" TargetMode="External"/><Relationship Id="rId39" Type="http://schemas.openxmlformats.org/officeDocument/2006/relationships/hyperlink" Target="https://www.andrafarm.com/_andra.php?_i=daftar-tkpi&amp;kmakan=AP086" TargetMode="External"/><Relationship Id="rId174" Type="http://schemas.openxmlformats.org/officeDocument/2006/relationships/hyperlink" Target="https://www.andrafarm.com/_andra.php?_i=daftar-tkpi&amp;kmakan=CP025" TargetMode="External"/><Relationship Id="rId38" Type="http://schemas.openxmlformats.org/officeDocument/2006/relationships/hyperlink" Target="https://www.andrafarm.com/_andra.php?_i=daftar-tkpi&amp;kmakan=AP086" TargetMode="External"/><Relationship Id="rId173" Type="http://schemas.openxmlformats.org/officeDocument/2006/relationships/hyperlink" Target="https://www.andrafarm.com/_andra.php?_i=daftar-tkpi&amp;kmakan=CP025" TargetMode="External"/><Relationship Id="rId179" Type="http://schemas.openxmlformats.org/officeDocument/2006/relationships/hyperlink" Target="https://www.andrafarm.com/_andra.php?_i=daftar-tkpi&amp;kmakan=CP036" TargetMode="External"/><Relationship Id="rId178" Type="http://schemas.openxmlformats.org/officeDocument/2006/relationships/hyperlink" Target="https://www.andrafarm.com/_andra.php?_i=daftar-tkpi&amp;kmakan=CP036" TargetMode="External"/><Relationship Id="rId177" Type="http://schemas.openxmlformats.org/officeDocument/2006/relationships/hyperlink" Target="https://www.andrafarm.com/_andra.php?_i=daftar-tkpi&amp;kmakan=CP036" TargetMode="External"/><Relationship Id="rId20" Type="http://schemas.openxmlformats.org/officeDocument/2006/relationships/hyperlink" Target="https://www.andrafarm.com/_andra.php?_i=daftar-tkpi&amp;jobs=&amp;perhal=40&amp;sby=&amp;knama=&amp;asc=0010000000&amp;urut=2" TargetMode="External"/><Relationship Id="rId22" Type="http://schemas.openxmlformats.org/officeDocument/2006/relationships/hyperlink" Target="https://www.andrafarm.com/_andra.php?_i=daftar-tkpi&amp;kmakan=AP001" TargetMode="External"/><Relationship Id="rId21" Type="http://schemas.openxmlformats.org/officeDocument/2006/relationships/hyperlink" Target="https://www.andrafarm.com/_andra.php?_i=daftar-tkpi&amp;kmakan=AP001" TargetMode="External"/><Relationship Id="rId24" Type="http://schemas.openxmlformats.org/officeDocument/2006/relationships/hyperlink" Target="https://www.andrafarm.com/_andra.php?_i=daftar-tkpi&amp;kmakan=AP001" TargetMode="External"/><Relationship Id="rId23" Type="http://schemas.openxmlformats.org/officeDocument/2006/relationships/hyperlink" Target="https://www.andrafarm.com/_andra.php?_i=daftar-tkpi&amp;kmakan=AP001" TargetMode="External"/><Relationship Id="rId26" Type="http://schemas.openxmlformats.org/officeDocument/2006/relationships/hyperlink" Target="https://www.andrafarm.com/_andra.php?_i=daftar-tkpi&amp;kmakan=AP029" TargetMode="External"/><Relationship Id="rId25" Type="http://schemas.openxmlformats.org/officeDocument/2006/relationships/hyperlink" Target="https://www.andrafarm.com/_andra.php?_i=daftar-tkpi&amp;kmakan=AP001" TargetMode="External"/><Relationship Id="rId28" Type="http://schemas.openxmlformats.org/officeDocument/2006/relationships/hyperlink" Target="https://www.andrafarm.com/_andra.php?_i=daftar-tkpi&amp;kmakan=AP029" TargetMode="External"/><Relationship Id="rId27" Type="http://schemas.openxmlformats.org/officeDocument/2006/relationships/hyperlink" Target="https://www.andrafarm.com/_andra.php?_i=daftar-tkpi&amp;kmakan=AP029" TargetMode="External"/><Relationship Id="rId29" Type="http://schemas.openxmlformats.org/officeDocument/2006/relationships/hyperlink" Target="https://www.andrafarm.com/_andra.php?_i=daftar-tkpi&amp;kmakan=AP029" TargetMode="External"/><Relationship Id="rId11" Type="http://schemas.openxmlformats.org/officeDocument/2006/relationships/hyperlink" Target="https://www.andrafarm.com/_andra.php?_i=daftar-tkpi&amp;jobs=&amp;perhal=40&amp;sby=&amp;knama=&amp;asc=0000000001&amp;urut=9" TargetMode="External"/><Relationship Id="rId10" Type="http://schemas.openxmlformats.org/officeDocument/2006/relationships/hyperlink" Target="https://www.andrafarm.com/_andra.php?_i=daftar-tkpi&amp;jobs=&amp;perhal=40&amp;sby=&amp;knama=&amp;asc=0000000010&amp;urut=8" TargetMode="External"/><Relationship Id="rId13" Type="http://schemas.openxmlformats.org/officeDocument/2006/relationships/hyperlink" Target="https://www.andrafarm.com/_andra.php?_i=daftar-tkpi&amp;jobs=&amp;perhal=40&amp;sby=&amp;knama=&amp;asc=0010000000&amp;urut=2" TargetMode="External"/><Relationship Id="rId12" Type="http://schemas.openxmlformats.org/officeDocument/2006/relationships/hyperlink" Target="https://www.andrafarm.com/_andra.php?_i=daftar-tkpi&amp;jobs=&amp;perhal=40&amp;sby=&amp;knama=&amp;asc=0000100000&amp;urut=14" TargetMode="External"/><Relationship Id="rId15" Type="http://schemas.openxmlformats.org/officeDocument/2006/relationships/hyperlink" Target="https://www.andrafarm.com/_andra.php?_i=daftar-tkpi&amp;jobs=&amp;perhal=40&amp;sby=&amp;knama=&amp;asc=0000000100&amp;urut=7" TargetMode="External"/><Relationship Id="rId198" Type="http://schemas.openxmlformats.org/officeDocument/2006/relationships/hyperlink" Target="https://www.andrafarm.com/_andra.php?_i=daftar-tkpi&amp;kmakan=CP060" TargetMode="External"/><Relationship Id="rId14" Type="http://schemas.openxmlformats.org/officeDocument/2006/relationships/hyperlink" Target="https://www.andrafarm.com/_andra.php?_i=daftar-tkpi&amp;jobs=&amp;perhal=40&amp;sby=&amp;knama=&amp;asc=0000001000&amp;urut=6" TargetMode="External"/><Relationship Id="rId197" Type="http://schemas.openxmlformats.org/officeDocument/2006/relationships/hyperlink" Target="https://www.andrafarm.com/_andra.php?_i=daftar-tkpi&amp;kmakan=CP060" TargetMode="External"/><Relationship Id="rId17" Type="http://schemas.openxmlformats.org/officeDocument/2006/relationships/hyperlink" Target="https://www.andrafarm.com/_andra.php?_i=daftar-tkpi&amp;jobs=&amp;perhal=40&amp;sby=&amp;knama=&amp;asc=0000000001&amp;urut=9" TargetMode="External"/><Relationship Id="rId196" Type="http://schemas.openxmlformats.org/officeDocument/2006/relationships/hyperlink" Target="https://www.andrafarm.com/_andra.php?_i=daftar-tkpi&amp;kmakan=CP060" TargetMode="External"/><Relationship Id="rId16" Type="http://schemas.openxmlformats.org/officeDocument/2006/relationships/hyperlink" Target="https://www.andrafarm.com/_andra.php?_i=daftar-tkpi&amp;jobs=&amp;perhal=40&amp;sby=&amp;knama=&amp;asc=0000000010&amp;urut=8" TargetMode="External"/><Relationship Id="rId195" Type="http://schemas.openxmlformats.org/officeDocument/2006/relationships/hyperlink" Target="https://www.andrafarm.com/_andra.php?_i=daftar-tkpi&amp;kmakan=CP060" TargetMode="External"/><Relationship Id="rId19" Type="http://schemas.openxmlformats.org/officeDocument/2006/relationships/hyperlink" Target="https://www.andrafarm.com/_andra.php?_i=daftar-tkpi&amp;jobs=&amp;perhal=40&amp;sby=&amp;knama=&amp;asc=0010000000&amp;urut=2" TargetMode="External"/><Relationship Id="rId18" Type="http://schemas.openxmlformats.org/officeDocument/2006/relationships/hyperlink" Target="https://www.andrafarm.com/_andra.php?_i=daftar-tkpi&amp;jobs=&amp;perhal=40&amp;sby=&amp;knama=&amp;asc=0000100000&amp;urut=14" TargetMode="External"/><Relationship Id="rId199" Type="http://schemas.openxmlformats.org/officeDocument/2006/relationships/hyperlink" Target="https://www.andrafarm.com/_andra.php?_i=daftar-tkpi&amp;kmakan=CP060" TargetMode="External"/><Relationship Id="rId84" Type="http://schemas.openxmlformats.org/officeDocument/2006/relationships/hyperlink" Target="https://www.andrafarm.com/_andra.php?_i=daftar-tkpi&amp;kmakan=BP011" TargetMode="External"/><Relationship Id="rId83" Type="http://schemas.openxmlformats.org/officeDocument/2006/relationships/hyperlink" Target="https://www.andrafarm.com/_andra.php?_i=daftar-tkpi&amp;kmakan=BP011" TargetMode="External"/><Relationship Id="rId86" Type="http://schemas.openxmlformats.org/officeDocument/2006/relationships/hyperlink" Target="https://www.andrafarm.com/_andra.php?_i=daftar-tkpi&amp;kmakan=BP012" TargetMode="External"/><Relationship Id="rId85" Type="http://schemas.openxmlformats.org/officeDocument/2006/relationships/hyperlink" Target="https://www.andrafarm.com/_andra.php?_i=daftar-tkpi&amp;kmakan=BP012" TargetMode="External"/><Relationship Id="rId88" Type="http://schemas.openxmlformats.org/officeDocument/2006/relationships/hyperlink" Target="https://www.andrafarm.com/_andra.php?_i=daftar-tkpi&amp;kmakan=BP012" TargetMode="External"/><Relationship Id="rId150" Type="http://schemas.openxmlformats.org/officeDocument/2006/relationships/hyperlink" Target="https://www.andrafarm.com/_andra.php?_i=daftar-tkpi&amp;kmakan=CP009" TargetMode="External"/><Relationship Id="rId271" Type="http://schemas.openxmlformats.org/officeDocument/2006/relationships/hyperlink" Target="https://www.andrafarm.com/_andra.php?_i=daftar-usda&amp;kmakan=09325" TargetMode="External"/><Relationship Id="rId87" Type="http://schemas.openxmlformats.org/officeDocument/2006/relationships/hyperlink" Target="https://www.andrafarm.com/_andra.php?_i=daftar-tkpi&amp;kmakan=BP012" TargetMode="External"/><Relationship Id="rId270" Type="http://schemas.openxmlformats.org/officeDocument/2006/relationships/hyperlink" Target="https://www.andrafarm.com/_andra.php?_i=daftar-usda&amp;kmakan=09325" TargetMode="External"/><Relationship Id="rId89" Type="http://schemas.openxmlformats.org/officeDocument/2006/relationships/hyperlink" Target="https://www.andrafarm.com/_andra.php?_i=daftar-tkpi&amp;kmakan=BP012" TargetMode="External"/><Relationship Id="rId80" Type="http://schemas.openxmlformats.org/officeDocument/2006/relationships/hyperlink" Target="https://www.andrafarm.com/_andra.php?_i=daftar-tkpi&amp;kmakan=BP011" TargetMode="External"/><Relationship Id="rId82" Type="http://schemas.openxmlformats.org/officeDocument/2006/relationships/hyperlink" Target="https://www.andrafarm.com/_andra.php?_i=daftar-tkpi&amp;kmakan=BP011" TargetMode="External"/><Relationship Id="rId81" Type="http://schemas.openxmlformats.org/officeDocument/2006/relationships/hyperlink" Target="https://www.andrafarm.com/_andra.php?_i=daftar-tkpi&amp;kmakan=BP011" TargetMode="External"/><Relationship Id="rId1" Type="http://schemas.openxmlformats.org/officeDocument/2006/relationships/hyperlink" Target="https://www.andrafarm.com/_andra.php?_i=daftar-tkpi&amp;jobs=&amp;perhal=40&amp;sby=&amp;knama=&amp;asc=0010000000&amp;urut=2" TargetMode="External"/><Relationship Id="rId2" Type="http://schemas.openxmlformats.org/officeDocument/2006/relationships/hyperlink" Target="https://www.andrafarm.com/_andra.php?_i=daftar-tkpi&amp;jobs=&amp;perhal=40&amp;sby=&amp;knama=&amp;asc=0000001000&amp;urut=6" TargetMode="External"/><Relationship Id="rId3" Type="http://schemas.openxmlformats.org/officeDocument/2006/relationships/hyperlink" Target="https://www.andrafarm.com/_andra.php?_i=daftar-tkpi&amp;jobs=&amp;perhal=40&amp;sby=&amp;knama=&amp;asc=0000000100&amp;urut=7" TargetMode="External"/><Relationship Id="rId149" Type="http://schemas.openxmlformats.org/officeDocument/2006/relationships/hyperlink" Target="https://www.andrafarm.com/_andra.php?_i=daftar-tkpi&amp;kmakan=CP008" TargetMode="External"/><Relationship Id="rId4" Type="http://schemas.openxmlformats.org/officeDocument/2006/relationships/hyperlink" Target="https://www.andrafarm.com/_andra.php?_i=daftar-tkpi&amp;jobs=&amp;perhal=40&amp;sby=&amp;knama=&amp;asc=0000000010&amp;urut=8" TargetMode="External"/><Relationship Id="rId148" Type="http://schemas.openxmlformats.org/officeDocument/2006/relationships/hyperlink" Target="https://www.andrafarm.com/_andra.php?_i=daftar-tkpi&amp;kmakan=CP008" TargetMode="External"/><Relationship Id="rId269" Type="http://schemas.openxmlformats.org/officeDocument/2006/relationships/hyperlink" Target="https://www.andrafarm.com/_andra.php?_i=daftar-usda&amp;kmakan=09040" TargetMode="External"/><Relationship Id="rId9" Type="http://schemas.openxmlformats.org/officeDocument/2006/relationships/hyperlink" Target="https://www.andrafarm.com/_andra.php?_i=daftar-tkpi&amp;jobs=&amp;perhal=40&amp;sby=&amp;knama=&amp;asc=0000000100&amp;urut=7" TargetMode="External"/><Relationship Id="rId143" Type="http://schemas.openxmlformats.org/officeDocument/2006/relationships/hyperlink" Target="https://www.andrafarm.com/_andra.php?_i=daftar-tkpi&amp;kmakan=CP007" TargetMode="External"/><Relationship Id="rId264" Type="http://schemas.openxmlformats.org/officeDocument/2006/relationships/hyperlink" Target="https://www.andrafarm.com/_andra.php?_i=daftar-usda&amp;kmakan=09252" TargetMode="External"/><Relationship Id="rId142" Type="http://schemas.openxmlformats.org/officeDocument/2006/relationships/hyperlink" Target="https://www.andrafarm.com/_andra.php?_i=daftar-tkpi&amp;kmakan=CP007" TargetMode="External"/><Relationship Id="rId263" Type="http://schemas.openxmlformats.org/officeDocument/2006/relationships/hyperlink" Target="https://www.andrafarm.com/_andra.php?_i=daftar-usda&amp;kmakan=09252" TargetMode="External"/><Relationship Id="rId141" Type="http://schemas.openxmlformats.org/officeDocument/2006/relationships/hyperlink" Target="https://www.andrafarm.com/_andra.php?_i=daftar-tkpi&amp;kmakan=CP007" TargetMode="External"/><Relationship Id="rId262" Type="http://schemas.openxmlformats.org/officeDocument/2006/relationships/hyperlink" Target="https://www.andrafarm.com/_andra.php?_i=daftar-usda&amp;kmakan=09252" TargetMode="External"/><Relationship Id="rId140" Type="http://schemas.openxmlformats.org/officeDocument/2006/relationships/hyperlink" Target="https://www.andrafarm.com/_andra.php?_i=daftar-tkpi&amp;kmakan=CP007" TargetMode="External"/><Relationship Id="rId261" Type="http://schemas.openxmlformats.org/officeDocument/2006/relationships/hyperlink" Target="https://www.andrafarm.com/_andra.php?_i=daftar-usda&amp;kmakan=09252" TargetMode="External"/><Relationship Id="rId5" Type="http://schemas.openxmlformats.org/officeDocument/2006/relationships/hyperlink" Target="https://www.andrafarm.com/_andra.php?_i=daftar-tkpi&amp;jobs=&amp;perhal=40&amp;sby=&amp;knama=&amp;asc=0000000001&amp;urut=9" TargetMode="External"/><Relationship Id="rId147" Type="http://schemas.openxmlformats.org/officeDocument/2006/relationships/hyperlink" Target="https://www.andrafarm.com/_andra.php?_i=daftar-tkpi&amp;kmakan=CP008" TargetMode="External"/><Relationship Id="rId268" Type="http://schemas.openxmlformats.org/officeDocument/2006/relationships/hyperlink" Target="https://www.andrafarm.com/_andra.php?_i=daftar-usda&amp;kmakan=09040" TargetMode="External"/><Relationship Id="rId6" Type="http://schemas.openxmlformats.org/officeDocument/2006/relationships/hyperlink" Target="https://www.andrafarm.com/_andra.php?_i=daftar-tkpi&amp;jobs=&amp;perhal=40&amp;sby=&amp;knama=&amp;asc=0000100000&amp;urut=14" TargetMode="External"/><Relationship Id="rId146" Type="http://schemas.openxmlformats.org/officeDocument/2006/relationships/hyperlink" Target="https://www.andrafarm.com/_andra.php?_i=daftar-tkpi&amp;kmakan=CP008" TargetMode="External"/><Relationship Id="rId267" Type="http://schemas.openxmlformats.org/officeDocument/2006/relationships/hyperlink" Target="https://www.andrafarm.com/_andra.php?_i=daftar-usda&amp;kmakan=09040" TargetMode="External"/><Relationship Id="rId7" Type="http://schemas.openxmlformats.org/officeDocument/2006/relationships/hyperlink" Target="https://www.andrafarm.com/_andra.php?_i=daftar-tkpi&amp;jobs=&amp;perhal=40&amp;sby=&amp;knama=&amp;asc=0010000000&amp;urut=2" TargetMode="External"/><Relationship Id="rId145" Type="http://schemas.openxmlformats.org/officeDocument/2006/relationships/hyperlink" Target="https://www.andrafarm.com/_andra.php?_i=daftar-tkpi&amp;kmakan=CP008" TargetMode="External"/><Relationship Id="rId266" Type="http://schemas.openxmlformats.org/officeDocument/2006/relationships/hyperlink" Target="https://www.andrafarm.com/_andra.php?_i=daftar-usda&amp;kmakan=09040" TargetMode="External"/><Relationship Id="rId8" Type="http://schemas.openxmlformats.org/officeDocument/2006/relationships/hyperlink" Target="https://www.andrafarm.com/_andra.php?_i=daftar-tkpi&amp;jobs=&amp;perhal=40&amp;sby=&amp;knama=&amp;asc=0000001000&amp;urut=6" TargetMode="External"/><Relationship Id="rId144" Type="http://schemas.openxmlformats.org/officeDocument/2006/relationships/hyperlink" Target="https://www.andrafarm.com/_andra.php?_i=daftar-tkpi&amp;kmakan=CP007" TargetMode="External"/><Relationship Id="rId265" Type="http://schemas.openxmlformats.org/officeDocument/2006/relationships/hyperlink" Target="https://www.andrafarm.com/_andra.php?_i=daftar-usda&amp;kmakan=09040" TargetMode="External"/><Relationship Id="rId73" Type="http://schemas.openxmlformats.org/officeDocument/2006/relationships/hyperlink" Target="https://www.andrafarm.com/_andra.php?_i=daftar-tkpi&amp;kmakan=BP004" TargetMode="External"/><Relationship Id="rId72" Type="http://schemas.openxmlformats.org/officeDocument/2006/relationships/hyperlink" Target="https://www.andrafarm.com/_andra.php?_i=daftar-tkpi&amp;kmakan=BP004" TargetMode="External"/><Relationship Id="rId75" Type="http://schemas.openxmlformats.org/officeDocument/2006/relationships/hyperlink" Target="https://www.andrafarm.com/_andra.php?_i=daftar-tkpi&amp;kmakan=BP008" TargetMode="External"/><Relationship Id="rId74" Type="http://schemas.openxmlformats.org/officeDocument/2006/relationships/hyperlink" Target="https://www.andrafarm.com/_andra.php?_i=daftar-tkpi&amp;kmakan=BP004" TargetMode="External"/><Relationship Id="rId77" Type="http://schemas.openxmlformats.org/officeDocument/2006/relationships/hyperlink" Target="https://www.andrafarm.com/_andra.php?_i=daftar-tkpi&amp;kmakan=BP008" TargetMode="External"/><Relationship Id="rId260" Type="http://schemas.openxmlformats.org/officeDocument/2006/relationships/hyperlink" Target="https://www.andrafarm.com/_andra.php?_i=daftar-usda&amp;kmakan=09252" TargetMode="External"/><Relationship Id="rId76" Type="http://schemas.openxmlformats.org/officeDocument/2006/relationships/hyperlink" Target="https://www.andrafarm.com/_andra.php?_i=daftar-tkpi&amp;kmakan=BP008" TargetMode="External"/><Relationship Id="rId79" Type="http://schemas.openxmlformats.org/officeDocument/2006/relationships/hyperlink" Target="https://www.andrafarm.com/_andra.php?_i=daftar-tkpi&amp;kmakan=BP008" TargetMode="External"/><Relationship Id="rId78" Type="http://schemas.openxmlformats.org/officeDocument/2006/relationships/hyperlink" Target="https://www.andrafarm.com/_andra.php?_i=daftar-tkpi&amp;kmakan=BP008" TargetMode="External"/><Relationship Id="rId71" Type="http://schemas.openxmlformats.org/officeDocument/2006/relationships/hyperlink" Target="https://www.andrafarm.com/_andra.php?_i=daftar-tkpi&amp;kmakan=BP004" TargetMode="External"/><Relationship Id="rId70" Type="http://schemas.openxmlformats.org/officeDocument/2006/relationships/hyperlink" Target="https://www.andrafarm.com/_andra.php?_i=daftar-tkpi&amp;kmakan=BP004" TargetMode="External"/><Relationship Id="rId139" Type="http://schemas.openxmlformats.org/officeDocument/2006/relationships/hyperlink" Target="https://www.andrafarm.com/_andra.php?_i=daftar-tkpi&amp;kmakan=CP006" TargetMode="External"/><Relationship Id="rId138" Type="http://schemas.openxmlformats.org/officeDocument/2006/relationships/hyperlink" Target="https://www.andrafarm.com/_andra.php?_i=daftar-tkpi&amp;kmakan=CP006" TargetMode="External"/><Relationship Id="rId259" Type="http://schemas.openxmlformats.org/officeDocument/2006/relationships/hyperlink" Target="https://www.andrafarm.com/_andra.php?_i=daftar-usda&amp;kmakan=09226" TargetMode="External"/><Relationship Id="rId137" Type="http://schemas.openxmlformats.org/officeDocument/2006/relationships/hyperlink" Target="https://www.andrafarm.com/_andra.php?_i=daftar-tkpi&amp;kmakan=CP006" TargetMode="External"/><Relationship Id="rId258" Type="http://schemas.openxmlformats.org/officeDocument/2006/relationships/hyperlink" Target="https://www.andrafarm.com/_andra.php?_i=daftar-usda&amp;kmakan=09226" TargetMode="External"/><Relationship Id="rId132" Type="http://schemas.openxmlformats.org/officeDocument/2006/relationships/hyperlink" Target="https://www.andrafarm.com/_andra.php?_i=daftar-tkpi&amp;kmakan=CP005" TargetMode="External"/><Relationship Id="rId253" Type="http://schemas.openxmlformats.org/officeDocument/2006/relationships/hyperlink" Target="https://www.andrafarm.com/_andra.php?_i=daftar-usda&amp;kmakan=09139" TargetMode="External"/><Relationship Id="rId131" Type="http://schemas.openxmlformats.org/officeDocument/2006/relationships/hyperlink" Target="https://www.andrafarm.com/_andra.php?_i=daftar-tkpi&amp;kmakan=CP005" TargetMode="External"/><Relationship Id="rId252" Type="http://schemas.openxmlformats.org/officeDocument/2006/relationships/hyperlink" Target="https://www.andrafarm.com/_andra.php?_i=daftar-usda&amp;kmakan=09139" TargetMode="External"/><Relationship Id="rId130" Type="http://schemas.openxmlformats.org/officeDocument/2006/relationships/hyperlink" Target="https://www.andrafarm.com/_andra.php?_i=daftar-tkpi&amp;kmakan=CP005" TargetMode="External"/><Relationship Id="rId251" Type="http://schemas.openxmlformats.org/officeDocument/2006/relationships/hyperlink" Target="https://www.andrafarm.com/_andra.php?_i=daftar-usda&amp;kmakan=09139" TargetMode="External"/><Relationship Id="rId250" Type="http://schemas.openxmlformats.org/officeDocument/2006/relationships/hyperlink" Target="https://www.andrafarm.com/_andra.php?_i=daftar-usda&amp;kmakan=09139" TargetMode="External"/><Relationship Id="rId136" Type="http://schemas.openxmlformats.org/officeDocument/2006/relationships/hyperlink" Target="https://www.andrafarm.com/_andra.php?_i=daftar-tkpi&amp;kmakan=CP006" TargetMode="External"/><Relationship Id="rId257" Type="http://schemas.openxmlformats.org/officeDocument/2006/relationships/hyperlink" Target="https://www.andrafarm.com/_andra.php?_i=daftar-usda&amp;kmakan=09226" TargetMode="External"/><Relationship Id="rId135" Type="http://schemas.openxmlformats.org/officeDocument/2006/relationships/hyperlink" Target="https://www.andrafarm.com/_andra.php?_i=daftar-tkpi&amp;kmakan=CP006" TargetMode="External"/><Relationship Id="rId256" Type="http://schemas.openxmlformats.org/officeDocument/2006/relationships/hyperlink" Target="https://www.andrafarm.com/_andra.php?_i=daftar-usda&amp;kmakan=09226" TargetMode="External"/><Relationship Id="rId134" Type="http://schemas.openxmlformats.org/officeDocument/2006/relationships/hyperlink" Target="https://www.andrafarm.com/_andra.php?_i=daftar-tkpi&amp;kmakan=CP005" TargetMode="External"/><Relationship Id="rId255" Type="http://schemas.openxmlformats.org/officeDocument/2006/relationships/hyperlink" Target="https://www.andrafarm.com/_andra.php?_i=daftar-usda&amp;kmakan=09226" TargetMode="External"/><Relationship Id="rId133" Type="http://schemas.openxmlformats.org/officeDocument/2006/relationships/hyperlink" Target="https://www.andrafarm.com/_andra.php?_i=daftar-tkpi&amp;kmakan=CP005" TargetMode="External"/><Relationship Id="rId254" Type="http://schemas.openxmlformats.org/officeDocument/2006/relationships/hyperlink" Target="https://www.andrafarm.com/_andra.php?_i=daftar-usda&amp;kmakan=09139" TargetMode="External"/><Relationship Id="rId62" Type="http://schemas.openxmlformats.org/officeDocument/2006/relationships/hyperlink" Target="https://www.andrafarm.com/_andra.php?_i=daftar-tkpi&amp;kmakan=BP002" TargetMode="External"/><Relationship Id="rId61" Type="http://schemas.openxmlformats.org/officeDocument/2006/relationships/hyperlink" Target="https://www.andrafarm.com/_andra.php?_i=daftar-tkpi&amp;kmakan=BP002" TargetMode="External"/><Relationship Id="rId64" Type="http://schemas.openxmlformats.org/officeDocument/2006/relationships/hyperlink" Target="https://www.andrafarm.com/_andra.php?_i=daftar-tkpi&amp;kmakan=BP002" TargetMode="External"/><Relationship Id="rId63" Type="http://schemas.openxmlformats.org/officeDocument/2006/relationships/hyperlink" Target="https://www.andrafarm.com/_andra.php?_i=daftar-tkpi&amp;kmakan=BP002" TargetMode="External"/><Relationship Id="rId66" Type="http://schemas.openxmlformats.org/officeDocument/2006/relationships/hyperlink" Target="https://www.andrafarm.com/_andra.php?_i=daftar-tkpi&amp;kmakan=BP003" TargetMode="External"/><Relationship Id="rId172" Type="http://schemas.openxmlformats.org/officeDocument/2006/relationships/hyperlink" Target="https://www.andrafarm.com/_andra.php?_i=daftar-tkpi&amp;kmakan=CP025" TargetMode="External"/><Relationship Id="rId65" Type="http://schemas.openxmlformats.org/officeDocument/2006/relationships/hyperlink" Target="https://www.andrafarm.com/_andra.php?_i=daftar-tkpi&amp;kmakan=BP003" TargetMode="External"/><Relationship Id="rId171" Type="http://schemas.openxmlformats.org/officeDocument/2006/relationships/hyperlink" Target="https://www.andrafarm.com/_andra.php?_i=daftar-tkpi&amp;kmakan=CP025" TargetMode="External"/><Relationship Id="rId68" Type="http://schemas.openxmlformats.org/officeDocument/2006/relationships/hyperlink" Target="https://www.andrafarm.com/_andra.php?_i=daftar-tkpi&amp;kmakan=BP003" TargetMode="External"/><Relationship Id="rId170" Type="http://schemas.openxmlformats.org/officeDocument/2006/relationships/hyperlink" Target="https://www.andrafarm.com/_andra.php?_i=daftar-tkpi&amp;kmakan=CP025" TargetMode="External"/><Relationship Id="rId67" Type="http://schemas.openxmlformats.org/officeDocument/2006/relationships/hyperlink" Target="https://www.andrafarm.com/_andra.php?_i=daftar-tkpi&amp;kmakan=BP003" TargetMode="External"/><Relationship Id="rId60" Type="http://schemas.openxmlformats.org/officeDocument/2006/relationships/hyperlink" Target="https://www.andrafarm.com/_andra.php?_i=daftar-tkpi&amp;kmakan=BP002" TargetMode="External"/><Relationship Id="rId165" Type="http://schemas.openxmlformats.org/officeDocument/2006/relationships/hyperlink" Target="https://www.andrafarm.com/_andra.php?_i=daftar-tkpi&amp;kmakan=CP023" TargetMode="External"/><Relationship Id="rId69" Type="http://schemas.openxmlformats.org/officeDocument/2006/relationships/hyperlink" Target="https://www.andrafarm.com/_andra.php?_i=daftar-tkpi&amp;kmakan=BP003" TargetMode="External"/><Relationship Id="rId164" Type="http://schemas.openxmlformats.org/officeDocument/2006/relationships/hyperlink" Target="https://www.andrafarm.com/_andra.php?_i=daftar-tkpi&amp;kmakan=CP011" TargetMode="External"/><Relationship Id="rId285" Type="http://schemas.openxmlformats.org/officeDocument/2006/relationships/drawing" Target="../drawings/drawing7.xml"/><Relationship Id="rId163" Type="http://schemas.openxmlformats.org/officeDocument/2006/relationships/hyperlink" Target="https://www.andrafarm.com/_andra.php?_i=daftar-tkpi&amp;kmakan=CP011" TargetMode="External"/><Relationship Id="rId284" Type="http://schemas.openxmlformats.org/officeDocument/2006/relationships/hyperlink" Target="https://www.andrafarm.com/_andra.php?_i=daftar-usda&amp;kmakan=11464" TargetMode="External"/><Relationship Id="rId162" Type="http://schemas.openxmlformats.org/officeDocument/2006/relationships/hyperlink" Target="https://www.andrafarm.com/_andra.php?_i=daftar-tkpi&amp;kmakan=CP011" TargetMode="External"/><Relationship Id="rId283" Type="http://schemas.openxmlformats.org/officeDocument/2006/relationships/hyperlink" Target="https://www.andrafarm.com/_andra.php?_i=daftar-usda&amp;kmakan=11464" TargetMode="External"/><Relationship Id="rId169" Type="http://schemas.openxmlformats.org/officeDocument/2006/relationships/hyperlink" Target="https://www.andrafarm.com/_andra.php?_i=daftar-tkpi&amp;kmakan=CP023" TargetMode="External"/><Relationship Id="rId168" Type="http://schemas.openxmlformats.org/officeDocument/2006/relationships/hyperlink" Target="https://www.andrafarm.com/_andra.php?_i=daftar-tkpi&amp;kmakan=CP023" TargetMode="External"/><Relationship Id="rId167" Type="http://schemas.openxmlformats.org/officeDocument/2006/relationships/hyperlink" Target="https://www.andrafarm.com/_andra.php?_i=daftar-tkpi&amp;kmakan=CP023" TargetMode="External"/><Relationship Id="rId166" Type="http://schemas.openxmlformats.org/officeDocument/2006/relationships/hyperlink" Target="https://www.andrafarm.com/_andra.php?_i=daftar-tkpi&amp;kmakan=CP023" TargetMode="External"/><Relationship Id="rId51" Type="http://schemas.openxmlformats.org/officeDocument/2006/relationships/hyperlink" Target="https://www.andrafarm.com/_andra.php?_i=daftar-tkpi&amp;kmakan=AR005" TargetMode="External"/><Relationship Id="rId50" Type="http://schemas.openxmlformats.org/officeDocument/2006/relationships/hyperlink" Target="https://www.andrafarm.com/_andra.php?_i=daftar-tkpi&amp;kmakan=AR005" TargetMode="External"/><Relationship Id="rId53" Type="http://schemas.openxmlformats.org/officeDocument/2006/relationships/hyperlink" Target="https://www.andrafarm.com/_andra.php?_i=daftar-tkpi&amp;kmakan=AR005" TargetMode="External"/><Relationship Id="rId52" Type="http://schemas.openxmlformats.org/officeDocument/2006/relationships/hyperlink" Target="https://www.andrafarm.com/_andra.php?_i=daftar-tkpi&amp;kmakan=AR005" TargetMode="External"/><Relationship Id="rId55" Type="http://schemas.openxmlformats.org/officeDocument/2006/relationships/hyperlink" Target="https://www.andrafarm.com/_andra.php?_i=daftar-tkpi&amp;kmakan=BP001" TargetMode="External"/><Relationship Id="rId161" Type="http://schemas.openxmlformats.org/officeDocument/2006/relationships/hyperlink" Target="https://www.andrafarm.com/_andra.php?_i=daftar-tkpi&amp;kmakan=CP011" TargetMode="External"/><Relationship Id="rId282" Type="http://schemas.openxmlformats.org/officeDocument/2006/relationships/hyperlink" Target="https://www.andrafarm.com/_andra.php?_i=daftar-usda&amp;kmakan=11464" TargetMode="External"/><Relationship Id="rId54" Type="http://schemas.openxmlformats.org/officeDocument/2006/relationships/hyperlink" Target="https://www.andrafarm.com/_andra.php?_i=daftar-tkpi&amp;kmakan=BP001" TargetMode="External"/><Relationship Id="rId160" Type="http://schemas.openxmlformats.org/officeDocument/2006/relationships/hyperlink" Target="https://www.andrafarm.com/_andra.php?_i=daftar-tkpi&amp;kmakan=CP011" TargetMode="External"/><Relationship Id="rId281" Type="http://schemas.openxmlformats.org/officeDocument/2006/relationships/hyperlink" Target="https://www.andrafarm.com/_andra.php?_i=daftar-usda&amp;kmakan=11464" TargetMode="External"/><Relationship Id="rId57" Type="http://schemas.openxmlformats.org/officeDocument/2006/relationships/hyperlink" Target="https://www.andrafarm.com/_andra.php?_i=daftar-tkpi&amp;kmakan=BP001" TargetMode="External"/><Relationship Id="rId280" Type="http://schemas.openxmlformats.org/officeDocument/2006/relationships/hyperlink" Target="https://www.andrafarm.com/_andra.php?_i=daftar-usda&amp;kmakan=11464" TargetMode="External"/><Relationship Id="rId56" Type="http://schemas.openxmlformats.org/officeDocument/2006/relationships/hyperlink" Target="https://www.andrafarm.com/_andra.php?_i=daftar-tkpi&amp;kmakan=BP001" TargetMode="External"/><Relationship Id="rId159" Type="http://schemas.openxmlformats.org/officeDocument/2006/relationships/hyperlink" Target="https://www.andrafarm.com/_andra.php?_i=daftar-tkpi&amp;kmakan=CP010" TargetMode="External"/><Relationship Id="rId59" Type="http://schemas.openxmlformats.org/officeDocument/2006/relationships/hyperlink" Target="https://www.andrafarm.com/_andra.php?_i=daftar-tkpi&amp;kmakan=BP001" TargetMode="External"/><Relationship Id="rId154" Type="http://schemas.openxmlformats.org/officeDocument/2006/relationships/hyperlink" Target="https://www.andrafarm.com/_andra.php?_i=daftar-tkpi&amp;kmakan=CP009" TargetMode="External"/><Relationship Id="rId275" Type="http://schemas.openxmlformats.org/officeDocument/2006/relationships/hyperlink" Target="https://www.andrafarm.com/_andra.php?_i=daftar-usda&amp;kmakan=11856" TargetMode="External"/><Relationship Id="rId58" Type="http://schemas.openxmlformats.org/officeDocument/2006/relationships/hyperlink" Target="https://www.andrafarm.com/_andra.php?_i=daftar-tkpi&amp;kmakan=BP001" TargetMode="External"/><Relationship Id="rId153" Type="http://schemas.openxmlformats.org/officeDocument/2006/relationships/hyperlink" Target="https://www.andrafarm.com/_andra.php?_i=daftar-tkpi&amp;kmakan=CP009" TargetMode="External"/><Relationship Id="rId274" Type="http://schemas.openxmlformats.org/officeDocument/2006/relationships/hyperlink" Target="https://www.andrafarm.com/_andra.php?_i=daftar-usda&amp;kmakan=09325" TargetMode="External"/><Relationship Id="rId152" Type="http://schemas.openxmlformats.org/officeDocument/2006/relationships/hyperlink" Target="https://www.andrafarm.com/_andra.php?_i=daftar-tkpi&amp;kmakan=CP009" TargetMode="External"/><Relationship Id="rId273" Type="http://schemas.openxmlformats.org/officeDocument/2006/relationships/hyperlink" Target="https://www.andrafarm.com/_andra.php?_i=daftar-usda&amp;kmakan=09325" TargetMode="External"/><Relationship Id="rId151" Type="http://schemas.openxmlformats.org/officeDocument/2006/relationships/hyperlink" Target="https://www.andrafarm.com/_andra.php?_i=daftar-tkpi&amp;kmakan=CP009" TargetMode="External"/><Relationship Id="rId272" Type="http://schemas.openxmlformats.org/officeDocument/2006/relationships/hyperlink" Target="https://www.andrafarm.com/_andra.php?_i=daftar-usda&amp;kmakan=09325" TargetMode="External"/><Relationship Id="rId158" Type="http://schemas.openxmlformats.org/officeDocument/2006/relationships/hyperlink" Target="https://www.andrafarm.com/_andra.php?_i=daftar-tkpi&amp;kmakan=CP010" TargetMode="External"/><Relationship Id="rId279" Type="http://schemas.openxmlformats.org/officeDocument/2006/relationships/hyperlink" Target="https://www.andrafarm.com/_andra.php?_i=daftar-usda&amp;kmakan=11856" TargetMode="External"/><Relationship Id="rId157" Type="http://schemas.openxmlformats.org/officeDocument/2006/relationships/hyperlink" Target="https://www.andrafarm.com/_andra.php?_i=daftar-tkpi&amp;kmakan=CP010" TargetMode="External"/><Relationship Id="rId278" Type="http://schemas.openxmlformats.org/officeDocument/2006/relationships/hyperlink" Target="https://www.andrafarm.com/_andra.php?_i=daftar-usda&amp;kmakan=11856" TargetMode="External"/><Relationship Id="rId156" Type="http://schemas.openxmlformats.org/officeDocument/2006/relationships/hyperlink" Target="https://www.andrafarm.com/_andra.php?_i=daftar-tkpi&amp;kmakan=CP010" TargetMode="External"/><Relationship Id="rId277" Type="http://schemas.openxmlformats.org/officeDocument/2006/relationships/hyperlink" Target="https://www.andrafarm.com/_andra.php?_i=daftar-usda&amp;kmakan=11856" TargetMode="External"/><Relationship Id="rId155" Type="http://schemas.openxmlformats.org/officeDocument/2006/relationships/hyperlink" Target="https://www.andrafarm.com/_andra.php?_i=daftar-tkpi&amp;kmakan=CP010" TargetMode="External"/><Relationship Id="rId276" Type="http://schemas.openxmlformats.org/officeDocument/2006/relationships/hyperlink" Target="https://www.andrafarm.com/_andra.php?_i=daftar-usda&amp;kmakan=11856" TargetMode="External"/><Relationship Id="rId107" Type="http://schemas.openxmlformats.org/officeDocument/2006/relationships/hyperlink" Target="https://www.andrafarm.com/_andra.php?_i=daftar-tkpi&amp;kmakan=BP039" TargetMode="External"/><Relationship Id="rId228" Type="http://schemas.openxmlformats.org/officeDocument/2006/relationships/hyperlink" Target="https://www.andrafarm.com/_andra.php?_i=daftar-usda&amp;kmakan=22940" TargetMode="External"/><Relationship Id="rId106" Type="http://schemas.openxmlformats.org/officeDocument/2006/relationships/hyperlink" Target="https://www.andrafarm.com/_andra.php?_i=daftar-tkpi&amp;kmakan=BP039" TargetMode="External"/><Relationship Id="rId227" Type="http://schemas.openxmlformats.org/officeDocument/2006/relationships/hyperlink" Target="https://www.andrafarm.com/_andra.php?_i=daftar-usda&amp;kmakan=22940" TargetMode="External"/><Relationship Id="rId105" Type="http://schemas.openxmlformats.org/officeDocument/2006/relationships/hyperlink" Target="https://www.andrafarm.com/_andra.php?_i=daftar-tkpi&amp;kmakan=BP039" TargetMode="External"/><Relationship Id="rId226" Type="http://schemas.openxmlformats.org/officeDocument/2006/relationships/hyperlink" Target="https://www.andrafarm.com/_andra.php?_i=daftar-usda&amp;kmakan=22940" TargetMode="External"/><Relationship Id="rId104" Type="http://schemas.openxmlformats.org/officeDocument/2006/relationships/hyperlink" Target="https://www.andrafarm.com/_andra.php?_i=daftar-tkpi&amp;kmakan=BP036" TargetMode="External"/><Relationship Id="rId225" Type="http://schemas.openxmlformats.org/officeDocument/2006/relationships/hyperlink" Target="https://www.andrafarm.com/_andra.php?_i=daftar-usda&amp;kmakan=22940" TargetMode="External"/><Relationship Id="rId109" Type="http://schemas.openxmlformats.org/officeDocument/2006/relationships/hyperlink" Target="https://www.andrafarm.com/_andra.php?_i=daftar-tkpi&amp;kmakan=BP039" TargetMode="External"/><Relationship Id="rId108" Type="http://schemas.openxmlformats.org/officeDocument/2006/relationships/hyperlink" Target="https://www.andrafarm.com/_andra.php?_i=daftar-tkpi&amp;kmakan=BP039" TargetMode="External"/><Relationship Id="rId229" Type="http://schemas.openxmlformats.org/officeDocument/2006/relationships/hyperlink" Target="https://www.andrafarm.com/_andra.php?_i=daftar-usda&amp;kmakan=22940" TargetMode="External"/><Relationship Id="rId220" Type="http://schemas.openxmlformats.org/officeDocument/2006/relationships/hyperlink" Target="https://www.andrafarm.com/_andra.php?_i=daftar-usda&amp;kmakan=22971" TargetMode="External"/><Relationship Id="rId103" Type="http://schemas.openxmlformats.org/officeDocument/2006/relationships/hyperlink" Target="https://www.andrafarm.com/_andra.php?_i=daftar-tkpi&amp;kmakan=BP036" TargetMode="External"/><Relationship Id="rId224" Type="http://schemas.openxmlformats.org/officeDocument/2006/relationships/hyperlink" Target="https://www.andrafarm.com/_andra.php?_i=daftar-usda&amp;kmakan=22971" TargetMode="External"/><Relationship Id="rId102" Type="http://schemas.openxmlformats.org/officeDocument/2006/relationships/hyperlink" Target="https://www.andrafarm.com/_andra.php?_i=daftar-tkpi&amp;kmakan=BP036" TargetMode="External"/><Relationship Id="rId223" Type="http://schemas.openxmlformats.org/officeDocument/2006/relationships/hyperlink" Target="https://www.andrafarm.com/_andra.php?_i=daftar-usda&amp;kmakan=22971" TargetMode="External"/><Relationship Id="rId101" Type="http://schemas.openxmlformats.org/officeDocument/2006/relationships/hyperlink" Target="https://www.andrafarm.com/_andra.php?_i=daftar-tkpi&amp;kmakan=BP036" TargetMode="External"/><Relationship Id="rId222" Type="http://schemas.openxmlformats.org/officeDocument/2006/relationships/hyperlink" Target="https://www.andrafarm.com/_andra.php?_i=daftar-usda&amp;kmakan=22971" TargetMode="External"/><Relationship Id="rId100" Type="http://schemas.openxmlformats.org/officeDocument/2006/relationships/hyperlink" Target="https://www.andrafarm.com/_andra.php?_i=daftar-tkpi&amp;kmakan=BP036" TargetMode="External"/><Relationship Id="rId221" Type="http://schemas.openxmlformats.org/officeDocument/2006/relationships/hyperlink" Target="https://www.andrafarm.com/_andra.php?_i=daftar-usda&amp;kmakan=22971" TargetMode="External"/><Relationship Id="rId217" Type="http://schemas.openxmlformats.org/officeDocument/2006/relationships/hyperlink" Target="https://www.andrafarm.com/_andra.php?_i=daftar-usda&amp;kmakan=32001" TargetMode="External"/><Relationship Id="rId216" Type="http://schemas.openxmlformats.org/officeDocument/2006/relationships/hyperlink" Target="https://www.andrafarm.com/_andra.php?_i=daftar-usda&amp;kmakan=32001" TargetMode="External"/><Relationship Id="rId215" Type="http://schemas.openxmlformats.org/officeDocument/2006/relationships/hyperlink" Target="https://www.andrafarm.com/_andra.php?_i=daftar-usda&amp;kmakan=32001" TargetMode="External"/><Relationship Id="rId214" Type="http://schemas.openxmlformats.org/officeDocument/2006/relationships/hyperlink" Target="https://www.andrafarm.com/_andra.php?_i=daftar-tkpi&amp;kmakan=CP083" TargetMode="External"/><Relationship Id="rId219" Type="http://schemas.openxmlformats.org/officeDocument/2006/relationships/hyperlink" Target="https://www.andrafarm.com/_andra.php?_i=daftar-usda&amp;kmakan=32001" TargetMode="External"/><Relationship Id="rId218" Type="http://schemas.openxmlformats.org/officeDocument/2006/relationships/hyperlink" Target="https://www.andrafarm.com/_andra.php?_i=daftar-usda&amp;kmakan=32001" TargetMode="External"/><Relationship Id="rId213" Type="http://schemas.openxmlformats.org/officeDocument/2006/relationships/hyperlink" Target="https://www.andrafarm.com/_andra.php?_i=daftar-tkpi&amp;kmakan=CP083" TargetMode="External"/><Relationship Id="rId212" Type="http://schemas.openxmlformats.org/officeDocument/2006/relationships/hyperlink" Target="https://www.andrafarm.com/_andra.php?_i=daftar-tkpi&amp;kmakan=CP083" TargetMode="External"/><Relationship Id="rId211" Type="http://schemas.openxmlformats.org/officeDocument/2006/relationships/hyperlink" Target="https://www.andrafarm.com/_andra.php?_i=daftar-tkpi&amp;kmakan=CP083" TargetMode="External"/><Relationship Id="rId210" Type="http://schemas.openxmlformats.org/officeDocument/2006/relationships/hyperlink" Target="https://www.andrafarm.com/_andra.php?_i=daftar-tkpi&amp;kmakan=CP083" TargetMode="External"/><Relationship Id="rId129" Type="http://schemas.openxmlformats.org/officeDocument/2006/relationships/hyperlink" Target="https://www.andrafarm.com/_andra.php?_i=daftar-tkpi&amp;kmakan=BP054" TargetMode="External"/><Relationship Id="rId128" Type="http://schemas.openxmlformats.org/officeDocument/2006/relationships/hyperlink" Target="https://www.andrafarm.com/_andra.php?_i=daftar-tkpi&amp;kmakan=BP054" TargetMode="External"/><Relationship Id="rId249" Type="http://schemas.openxmlformats.org/officeDocument/2006/relationships/hyperlink" Target="https://www.andrafarm.com/_andra.php?_i=daftar-usda&amp;kmakan=09286" TargetMode="External"/><Relationship Id="rId127" Type="http://schemas.openxmlformats.org/officeDocument/2006/relationships/hyperlink" Target="https://www.andrafarm.com/_andra.php?_i=daftar-tkpi&amp;kmakan=BP054" TargetMode="External"/><Relationship Id="rId248" Type="http://schemas.openxmlformats.org/officeDocument/2006/relationships/hyperlink" Target="https://www.andrafarm.com/_andra.php?_i=daftar-usda&amp;kmakan=09286" TargetMode="External"/><Relationship Id="rId126" Type="http://schemas.openxmlformats.org/officeDocument/2006/relationships/hyperlink" Target="https://www.andrafarm.com/_andra.php?_i=daftar-tkpi&amp;kmakan=BP054" TargetMode="External"/><Relationship Id="rId247" Type="http://schemas.openxmlformats.org/officeDocument/2006/relationships/hyperlink" Target="https://www.andrafarm.com/_andra.php?_i=daftar-usda&amp;kmakan=09286" TargetMode="External"/><Relationship Id="rId121" Type="http://schemas.openxmlformats.org/officeDocument/2006/relationships/hyperlink" Target="https://www.andrafarm.com/_andra.php?_i=daftar-tkpi&amp;kmakan=BP047" TargetMode="External"/><Relationship Id="rId242" Type="http://schemas.openxmlformats.org/officeDocument/2006/relationships/hyperlink" Target="https://www.andrafarm.com/_andra.php?_i=daftar-usda&amp;kmakan=09037" TargetMode="External"/><Relationship Id="rId120" Type="http://schemas.openxmlformats.org/officeDocument/2006/relationships/hyperlink" Target="https://www.andrafarm.com/_andra.php?_i=daftar-tkpi&amp;kmakan=BP047" TargetMode="External"/><Relationship Id="rId241" Type="http://schemas.openxmlformats.org/officeDocument/2006/relationships/hyperlink" Target="https://www.andrafarm.com/_andra.php?_i=daftar-usda&amp;kmakan=09037" TargetMode="External"/><Relationship Id="rId240" Type="http://schemas.openxmlformats.org/officeDocument/2006/relationships/hyperlink" Target="https://www.andrafarm.com/_andra.php?_i=daftar-usda&amp;kmakan=09037" TargetMode="External"/><Relationship Id="rId125" Type="http://schemas.openxmlformats.org/officeDocument/2006/relationships/hyperlink" Target="https://www.andrafarm.com/_andra.php?_i=daftar-tkpi&amp;kmakan=BP054" TargetMode="External"/><Relationship Id="rId246" Type="http://schemas.openxmlformats.org/officeDocument/2006/relationships/hyperlink" Target="https://www.andrafarm.com/_andra.php?_i=daftar-usda&amp;kmakan=09286" TargetMode="External"/><Relationship Id="rId124" Type="http://schemas.openxmlformats.org/officeDocument/2006/relationships/hyperlink" Target="https://www.andrafarm.com/_andra.php?_i=daftar-tkpi&amp;kmakan=BP047" TargetMode="External"/><Relationship Id="rId245" Type="http://schemas.openxmlformats.org/officeDocument/2006/relationships/hyperlink" Target="https://www.andrafarm.com/_andra.php?_i=daftar-usda&amp;kmakan=09286" TargetMode="External"/><Relationship Id="rId123" Type="http://schemas.openxmlformats.org/officeDocument/2006/relationships/hyperlink" Target="https://www.andrafarm.com/_andra.php?_i=daftar-tkpi&amp;kmakan=BP047" TargetMode="External"/><Relationship Id="rId244" Type="http://schemas.openxmlformats.org/officeDocument/2006/relationships/hyperlink" Target="https://www.andrafarm.com/_andra.php?_i=daftar-usda&amp;kmakan=09037" TargetMode="External"/><Relationship Id="rId122" Type="http://schemas.openxmlformats.org/officeDocument/2006/relationships/hyperlink" Target="https://www.andrafarm.com/_andra.php?_i=daftar-tkpi&amp;kmakan=BP047" TargetMode="External"/><Relationship Id="rId243" Type="http://schemas.openxmlformats.org/officeDocument/2006/relationships/hyperlink" Target="https://www.andrafarm.com/_andra.php?_i=daftar-usda&amp;kmakan=09037" TargetMode="External"/><Relationship Id="rId95" Type="http://schemas.openxmlformats.org/officeDocument/2006/relationships/hyperlink" Target="https://www.andrafarm.com/_andra.php?_i=daftar-tkpi&amp;kmakan=BR031" TargetMode="External"/><Relationship Id="rId94" Type="http://schemas.openxmlformats.org/officeDocument/2006/relationships/hyperlink" Target="https://www.andrafarm.com/_andra.php?_i=daftar-tkpi&amp;kmakan=BR030" TargetMode="External"/><Relationship Id="rId97" Type="http://schemas.openxmlformats.org/officeDocument/2006/relationships/hyperlink" Target="https://www.andrafarm.com/_andra.php?_i=daftar-tkpi&amp;kmakan=BR031" TargetMode="External"/><Relationship Id="rId96" Type="http://schemas.openxmlformats.org/officeDocument/2006/relationships/hyperlink" Target="https://www.andrafarm.com/_andra.php?_i=daftar-tkpi&amp;kmakan=BR031" TargetMode="External"/><Relationship Id="rId99" Type="http://schemas.openxmlformats.org/officeDocument/2006/relationships/hyperlink" Target="https://www.andrafarm.com/_andra.php?_i=daftar-tkpi&amp;kmakan=BR031" TargetMode="External"/><Relationship Id="rId98" Type="http://schemas.openxmlformats.org/officeDocument/2006/relationships/hyperlink" Target="https://www.andrafarm.com/_andra.php?_i=daftar-tkpi&amp;kmakan=BR031" TargetMode="External"/><Relationship Id="rId91" Type="http://schemas.openxmlformats.org/officeDocument/2006/relationships/hyperlink" Target="https://www.andrafarm.com/_andra.php?_i=daftar-tkpi&amp;kmakan=BR030" TargetMode="External"/><Relationship Id="rId90" Type="http://schemas.openxmlformats.org/officeDocument/2006/relationships/hyperlink" Target="https://www.andrafarm.com/_andra.php?_i=daftar-tkpi&amp;kmakan=BR030" TargetMode="External"/><Relationship Id="rId93" Type="http://schemas.openxmlformats.org/officeDocument/2006/relationships/hyperlink" Target="https://www.andrafarm.com/_andra.php?_i=daftar-tkpi&amp;kmakan=BR030" TargetMode="External"/><Relationship Id="rId92" Type="http://schemas.openxmlformats.org/officeDocument/2006/relationships/hyperlink" Target="https://www.andrafarm.com/_andra.php?_i=daftar-tkpi&amp;kmakan=BR030" TargetMode="External"/><Relationship Id="rId118" Type="http://schemas.openxmlformats.org/officeDocument/2006/relationships/hyperlink" Target="https://www.andrafarm.com/_andra.php?_i=daftar-tkpi&amp;kmakan=BP045" TargetMode="External"/><Relationship Id="rId239" Type="http://schemas.openxmlformats.org/officeDocument/2006/relationships/hyperlink" Target="https://www.andrafarm.com/_andra.php?_i=daftar-usda&amp;kmakan=09003" TargetMode="External"/><Relationship Id="rId117" Type="http://schemas.openxmlformats.org/officeDocument/2006/relationships/hyperlink" Target="https://www.andrafarm.com/_andra.php?_i=daftar-tkpi&amp;kmakan=BP045" TargetMode="External"/><Relationship Id="rId238" Type="http://schemas.openxmlformats.org/officeDocument/2006/relationships/hyperlink" Target="https://www.andrafarm.com/_andra.php?_i=daftar-usda&amp;kmakan=09003" TargetMode="External"/><Relationship Id="rId116" Type="http://schemas.openxmlformats.org/officeDocument/2006/relationships/hyperlink" Target="https://www.andrafarm.com/_andra.php?_i=daftar-tkpi&amp;kmakan=BP045" TargetMode="External"/><Relationship Id="rId237" Type="http://schemas.openxmlformats.org/officeDocument/2006/relationships/hyperlink" Target="https://www.andrafarm.com/_andra.php?_i=daftar-usda&amp;kmakan=09003" TargetMode="External"/><Relationship Id="rId115" Type="http://schemas.openxmlformats.org/officeDocument/2006/relationships/hyperlink" Target="https://www.andrafarm.com/_andra.php?_i=daftar-tkpi&amp;kmakan=BP045" TargetMode="External"/><Relationship Id="rId236" Type="http://schemas.openxmlformats.org/officeDocument/2006/relationships/hyperlink" Target="https://www.andrafarm.com/_andra.php?_i=daftar-usda&amp;kmakan=09003" TargetMode="External"/><Relationship Id="rId119" Type="http://schemas.openxmlformats.org/officeDocument/2006/relationships/hyperlink" Target="https://www.andrafarm.com/_andra.php?_i=daftar-tkpi&amp;kmakan=BP045" TargetMode="External"/><Relationship Id="rId110" Type="http://schemas.openxmlformats.org/officeDocument/2006/relationships/hyperlink" Target="https://www.andrafarm.com/_andra.php?_i=daftar-tkpi&amp;kmakan=BP040" TargetMode="External"/><Relationship Id="rId231" Type="http://schemas.openxmlformats.org/officeDocument/2006/relationships/hyperlink" Target="https://www.andrafarm.com/_andra.php?_i=daftar-usda&amp;kmakan=09014" TargetMode="External"/><Relationship Id="rId230" Type="http://schemas.openxmlformats.org/officeDocument/2006/relationships/hyperlink" Target="https://www.andrafarm.com/_andra.php?_i=daftar-usda&amp;kmakan=09014" TargetMode="External"/><Relationship Id="rId114" Type="http://schemas.openxmlformats.org/officeDocument/2006/relationships/hyperlink" Target="https://www.andrafarm.com/_andra.php?_i=daftar-tkpi&amp;kmakan=BP040" TargetMode="External"/><Relationship Id="rId235" Type="http://schemas.openxmlformats.org/officeDocument/2006/relationships/hyperlink" Target="https://www.andrafarm.com/_andra.php?_i=daftar-usda&amp;kmakan=09003" TargetMode="External"/><Relationship Id="rId113" Type="http://schemas.openxmlformats.org/officeDocument/2006/relationships/hyperlink" Target="https://www.andrafarm.com/_andra.php?_i=daftar-tkpi&amp;kmakan=BP040" TargetMode="External"/><Relationship Id="rId234" Type="http://schemas.openxmlformats.org/officeDocument/2006/relationships/hyperlink" Target="https://www.andrafarm.com/_andra.php?_i=daftar-usda&amp;kmakan=09014" TargetMode="External"/><Relationship Id="rId112" Type="http://schemas.openxmlformats.org/officeDocument/2006/relationships/hyperlink" Target="https://www.andrafarm.com/_andra.php?_i=daftar-tkpi&amp;kmakan=BP040" TargetMode="External"/><Relationship Id="rId233" Type="http://schemas.openxmlformats.org/officeDocument/2006/relationships/hyperlink" Target="https://www.andrafarm.com/_andra.php?_i=daftar-usda&amp;kmakan=09014" TargetMode="External"/><Relationship Id="rId111" Type="http://schemas.openxmlformats.org/officeDocument/2006/relationships/hyperlink" Target="https://www.andrafarm.com/_andra.php?_i=daftar-tkpi&amp;kmakan=BP040" TargetMode="External"/><Relationship Id="rId232" Type="http://schemas.openxmlformats.org/officeDocument/2006/relationships/hyperlink" Target="https://www.andrafarm.com/_andra.php?_i=daftar-usda&amp;kmakan=09014" TargetMode="External"/><Relationship Id="rId206" Type="http://schemas.openxmlformats.org/officeDocument/2006/relationships/hyperlink" Target="https://www.andrafarm.com/_andra.php?_i=daftar-tkpi&amp;kmakan=CP063" TargetMode="External"/><Relationship Id="rId205" Type="http://schemas.openxmlformats.org/officeDocument/2006/relationships/hyperlink" Target="https://www.andrafarm.com/_andra.php?_i=daftar-tkpi&amp;kmakan=CP063" TargetMode="External"/><Relationship Id="rId204" Type="http://schemas.openxmlformats.org/officeDocument/2006/relationships/hyperlink" Target="https://www.andrafarm.com/_andra.php?_i=daftar-tkpi&amp;kmakan=CP062" TargetMode="External"/><Relationship Id="rId203" Type="http://schemas.openxmlformats.org/officeDocument/2006/relationships/hyperlink" Target="https://www.andrafarm.com/_andra.php?_i=daftar-tkpi&amp;kmakan=CP062" TargetMode="External"/><Relationship Id="rId209" Type="http://schemas.openxmlformats.org/officeDocument/2006/relationships/hyperlink" Target="https://www.andrafarm.com/_andra.php?_i=daftar-tkpi&amp;kmakan=CP063" TargetMode="External"/><Relationship Id="rId208" Type="http://schemas.openxmlformats.org/officeDocument/2006/relationships/hyperlink" Target="https://www.andrafarm.com/_andra.php?_i=daftar-tkpi&amp;kmakan=CP063" TargetMode="External"/><Relationship Id="rId207" Type="http://schemas.openxmlformats.org/officeDocument/2006/relationships/hyperlink" Target="https://www.andrafarm.com/_andra.php?_i=daftar-tkpi&amp;kmakan=CP063" TargetMode="External"/><Relationship Id="rId202" Type="http://schemas.openxmlformats.org/officeDocument/2006/relationships/hyperlink" Target="https://www.andrafarm.com/_andra.php?_i=daftar-tkpi&amp;kmakan=CP062" TargetMode="External"/><Relationship Id="rId201" Type="http://schemas.openxmlformats.org/officeDocument/2006/relationships/hyperlink" Target="https://www.andrafarm.com/_andra.php?_i=daftar-tkpi&amp;kmakan=CP062" TargetMode="External"/><Relationship Id="rId200" Type="http://schemas.openxmlformats.org/officeDocument/2006/relationships/hyperlink" Target="https://www.andrafarm.com/_andra.php?_i=daftar-tkpi&amp;kmakan=CP06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2.38"/>
    <col customWidth="1" min="7" max="8" width="13.88"/>
    <col customWidth="1" min="9" max="9" width="15.13"/>
    <col customWidth="1" min="10" max="10" width="15.25"/>
    <col customWidth="1" min="11" max="11" width="12.88"/>
    <col customWidth="1" min="19" max="19" width="106.75"/>
    <col customWidth="1" min="20" max="20" width="55.0"/>
    <col customWidth="1" min="21" max="21" width="44.75"/>
    <col customWidth="1" min="22" max="22" width="62.63"/>
    <col customWidth="1" min="23" max="23" width="47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2" t="s">
        <v>0</v>
      </c>
      <c r="D4" s="3" t="s">
        <v>1</v>
      </c>
      <c r="F4" s="2" t="s">
        <v>2</v>
      </c>
      <c r="H4" s="2" t="s">
        <v>3</v>
      </c>
      <c r="J4" s="3" t="s">
        <v>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idden="1">
      <c r="A5" s="1"/>
      <c r="B5" s="4" t="s">
        <v>5</v>
      </c>
      <c r="D5" s="5" t="s">
        <v>6</v>
      </c>
      <c r="F5" s="4" t="s">
        <v>7</v>
      </c>
      <c r="H5" s="4" t="s">
        <v>7</v>
      </c>
      <c r="J5" s="5" t="s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4" t="s">
        <v>9</v>
      </c>
      <c r="D6" s="5" t="s">
        <v>10</v>
      </c>
      <c r="F6" s="4" t="s">
        <v>11</v>
      </c>
      <c r="H6" s="4" t="s">
        <v>12</v>
      </c>
      <c r="J6" s="5" t="s">
        <v>13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7" t="s">
        <v>16</v>
      </c>
      <c r="C8" s="7">
        <v>1.0</v>
      </c>
      <c r="D8" s="7" t="s">
        <v>16</v>
      </c>
      <c r="E8" s="7">
        <v>1.0</v>
      </c>
      <c r="F8" s="7" t="s">
        <v>16</v>
      </c>
      <c r="G8" s="7">
        <v>1.0</v>
      </c>
      <c r="H8" s="7" t="s">
        <v>16</v>
      </c>
      <c r="I8" s="7">
        <v>1.0</v>
      </c>
      <c r="J8" s="7" t="s">
        <v>17</v>
      </c>
      <c r="K8" s="7">
        <v>1.0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7" t="s">
        <v>18</v>
      </c>
      <c r="C9" s="7">
        <v>2.0</v>
      </c>
      <c r="D9" s="7" t="s">
        <v>18</v>
      </c>
      <c r="E9" s="7">
        <v>2.0</v>
      </c>
      <c r="F9" s="7" t="s">
        <v>18</v>
      </c>
      <c r="G9" s="7">
        <v>2.0</v>
      </c>
      <c r="H9" s="7" t="s">
        <v>19</v>
      </c>
      <c r="I9" s="7">
        <v>2.0</v>
      </c>
      <c r="J9" s="7" t="s">
        <v>20</v>
      </c>
      <c r="K9" s="7">
        <v>2.0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7" t="s">
        <v>21</v>
      </c>
      <c r="C10" s="7">
        <v>3.0</v>
      </c>
      <c r="D10" s="7" t="s">
        <v>21</v>
      </c>
      <c r="E10" s="7">
        <v>3.0</v>
      </c>
      <c r="F10" s="7" t="s">
        <v>21</v>
      </c>
      <c r="G10" s="7">
        <v>3.0</v>
      </c>
      <c r="H10" s="7" t="s">
        <v>22</v>
      </c>
      <c r="I10" s="7">
        <v>3.0</v>
      </c>
      <c r="J10" s="7" t="s">
        <v>23</v>
      </c>
      <c r="K10" s="7">
        <v>3.0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7" t="s">
        <v>24</v>
      </c>
      <c r="C11" s="7">
        <v>4.0</v>
      </c>
      <c r="D11" s="7" t="s">
        <v>24</v>
      </c>
      <c r="E11" s="7">
        <v>4.0</v>
      </c>
      <c r="F11" s="7" t="s">
        <v>24</v>
      </c>
      <c r="G11" s="7">
        <v>4.0</v>
      </c>
      <c r="H11" s="7" t="s">
        <v>25</v>
      </c>
      <c r="I11" s="7">
        <v>4.0</v>
      </c>
      <c r="J11" s="7" t="s">
        <v>26</v>
      </c>
      <c r="K11" s="7">
        <v>4.0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7" t="s">
        <v>27</v>
      </c>
      <c r="C12" s="7">
        <v>5.0</v>
      </c>
      <c r="D12" s="7" t="s">
        <v>27</v>
      </c>
      <c r="E12" s="7">
        <v>5.0</v>
      </c>
      <c r="F12" s="7" t="s">
        <v>27</v>
      </c>
      <c r="G12" s="7">
        <v>5.0</v>
      </c>
      <c r="H12" s="7" t="s">
        <v>28</v>
      </c>
      <c r="I12" s="7">
        <v>5.0</v>
      </c>
      <c r="J12" s="7" t="s">
        <v>29</v>
      </c>
      <c r="K12" s="7">
        <v>5.0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8" t="s">
        <v>30</v>
      </c>
      <c r="C40" s="8"/>
      <c r="D40" s="8"/>
      <c r="E40" s="8" t="s">
        <v>31</v>
      </c>
      <c r="F40" s="8"/>
      <c r="G40" s="8" t="s">
        <v>32</v>
      </c>
      <c r="H40" s="8"/>
      <c r="I40" s="8" t="s">
        <v>33</v>
      </c>
      <c r="J40" s="8" t="s">
        <v>34</v>
      </c>
      <c r="K40" s="8" t="s">
        <v>35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8">
        <v>1.0</v>
      </c>
      <c r="C41" s="8"/>
      <c r="D41" s="8"/>
      <c r="E41" s="8">
        <v>2.0</v>
      </c>
      <c r="F41" s="8"/>
      <c r="G41" s="8">
        <v>3.0</v>
      </c>
      <c r="H41" s="8"/>
      <c r="I41" s="8">
        <v>4.0</v>
      </c>
      <c r="J41" s="8">
        <v>5.0</v>
      </c>
      <c r="K41" s="8">
        <v>1.0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8">
        <v>2.0</v>
      </c>
      <c r="C42" s="8"/>
      <c r="D42" s="8"/>
      <c r="E42" s="8">
        <v>3.0</v>
      </c>
      <c r="F42" s="8"/>
      <c r="G42" s="8">
        <v>4.0</v>
      </c>
      <c r="H42" s="8"/>
      <c r="I42" s="8">
        <v>5.0</v>
      </c>
      <c r="J42" s="8">
        <v>1.0</v>
      </c>
      <c r="K42" s="8">
        <v>2.0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8">
        <v>3.0</v>
      </c>
      <c r="C43" s="8"/>
      <c r="D43" s="8"/>
      <c r="E43" s="8">
        <v>4.0</v>
      </c>
      <c r="F43" s="8"/>
      <c r="G43" s="8">
        <v>5.0</v>
      </c>
      <c r="H43" s="8"/>
      <c r="I43" s="8">
        <v>1.0</v>
      </c>
      <c r="J43" s="8">
        <v>2.0</v>
      </c>
      <c r="K43" s="8">
        <v>3.0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8">
        <v>4.0</v>
      </c>
      <c r="C44" s="8"/>
      <c r="D44" s="8"/>
      <c r="E44" s="8">
        <v>5.0</v>
      </c>
      <c r="F44" s="8"/>
      <c r="G44" s="8">
        <v>1.0</v>
      </c>
      <c r="H44" s="8"/>
      <c r="I44" s="8">
        <v>2.0</v>
      </c>
      <c r="J44" s="8">
        <v>3.0</v>
      </c>
      <c r="K44" s="8">
        <v>4.0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8">
        <v>5.0</v>
      </c>
      <c r="C45" s="8"/>
      <c r="D45" s="8"/>
      <c r="E45" s="8">
        <v>1.0</v>
      </c>
      <c r="F45" s="8"/>
      <c r="G45" s="8">
        <v>2.0</v>
      </c>
      <c r="H45" s="8"/>
      <c r="I45" s="8">
        <v>3.0</v>
      </c>
      <c r="J45" s="8">
        <v>4.0</v>
      </c>
      <c r="K45" s="8">
        <v>5.0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</sheetData>
  <mergeCells count="15">
    <mergeCell ref="F5:G5"/>
    <mergeCell ref="H5:I5"/>
    <mergeCell ref="B5:C5"/>
    <mergeCell ref="B6:C6"/>
    <mergeCell ref="D6:E6"/>
    <mergeCell ref="F6:G6"/>
    <mergeCell ref="H6:I6"/>
    <mergeCell ref="J6:K6"/>
    <mergeCell ref="B4:C4"/>
    <mergeCell ref="D4:E4"/>
    <mergeCell ref="F4:G4"/>
    <mergeCell ref="H4:I4"/>
    <mergeCell ref="J4:K4"/>
    <mergeCell ref="D5:E5"/>
    <mergeCell ref="J5:K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B1" s="9"/>
    </row>
    <row r="2">
      <c r="B2" s="9"/>
    </row>
    <row r="3">
      <c r="B3" s="9"/>
    </row>
    <row r="4">
      <c r="B4" s="9"/>
      <c r="C4" s="10"/>
      <c r="D4" s="10"/>
      <c r="E4" s="10"/>
      <c r="F4" s="10"/>
      <c r="G4" s="10"/>
      <c r="J4" s="11"/>
      <c r="K4" s="12"/>
      <c r="L4" s="12"/>
      <c r="M4" s="12"/>
      <c r="N4" s="12"/>
      <c r="O4" s="12"/>
    </row>
    <row r="5">
      <c r="B5" s="13" t="s">
        <v>36</v>
      </c>
      <c r="C5" s="14" t="s">
        <v>2</v>
      </c>
      <c r="D5" s="14" t="s">
        <v>1</v>
      </c>
      <c r="E5" s="14" t="s">
        <v>0</v>
      </c>
      <c r="F5" s="14" t="s">
        <v>3</v>
      </c>
      <c r="G5" s="15" t="s">
        <v>37</v>
      </c>
      <c r="J5" s="11"/>
      <c r="K5" s="12"/>
      <c r="L5" s="12"/>
      <c r="M5" s="12"/>
      <c r="N5" s="12"/>
      <c r="O5" s="12"/>
    </row>
    <row r="6">
      <c r="B6" s="16"/>
      <c r="C6" s="17" t="s">
        <v>38</v>
      </c>
      <c r="D6" s="17" t="s">
        <v>38</v>
      </c>
      <c r="E6" s="17" t="s">
        <v>38</v>
      </c>
      <c r="F6" s="17" t="s">
        <v>38</v>
      </c>
      <c r="G6" s="17" t="s">
        <v>39</v>
      </c>
    </row>
    <row r="7">
      <c r="B7" s="18" t="s">
        <v>40</v>
      </c>
      <c r="C7" s="19">
        <v>3.0</v>
      </c>
      <c r="D7" s="19">
        <v>0.3</v>
      </c>
      <c r="E7" s="19">
        <v>39.8</v>
      </c>
      <c r="F7" s="19">
        <v>0.2</v>
      </c>
      <c r="G7" s="19">
        <v>1.0</v>
      </c>
    </row>
    <row r="8">
      <c r="B8" s="20" t="s">
        <v>41</v>
      </c>
      <c r="C8" s="19">
        <v>6.9</v>
      </c>
      <c r="D8" s="19">
        <v>14.4</v>
      </c>
      <c r="E8" s="19">
        <v>75.1</v>
      </c>
      <c r="F8" s="19">
        <v>2.1</v>
      </c>
      <c r="G8" s="19">
        <v>241.0</v>
      </c>
    </row>
    <row r="9">
      <c r="B9" s="21" t="s">
        <v>42</v>
      </c>
      <c r="C9" s="19">
        <v>2.3</v>
      </c>
      <c r="D9" s="19">
        <v>0.2</v>
      </c>
      <c r="E9" s="19">
        <v>15.6</v>
      </c>
      <c r="F9" s="19">
        <v>8.2</v>
      </c>
      <c r="G9" s="19">
        <v>486.0</v>
      </c>
    </row>
    <row r="10">
      <c r="B10" s="20" t="s">
        <v>43</v>
      </c>
      <c r="C10" s="19">
        <v>5.3</v>
      </c>
      <c r="D10" s="19">
        <v>3.0</v>
      </c>
      <c r="E10" s="19">
        <v>16.4</v>
      </c>
      <c r="F10" s="19">
        <v>0.1</v>
      </c>
      <c r="G10" s="19">
        <v>760.0</v>
      </c>
    </row>
    <row r="11">
      <c r="A11" s="22"/>
      <c r="B11" s="23" t="s">
        <v>44</v>
      </c>
      <c r="C11" s="24">
        <v>8.4</v>
      </c>
      <c r="D11" s="24">
        <v>1.7</v>
      </c>
      <c r="E11" s="24">
        <v>77.1</v>
      </c>
      <c r="F11" s="24">
        <v>0.2</v>
      </c>
      <c r="G11" s="24">
        <v>27.0</v>
      </c>
      <c r="H11" s="25"/>
      <c r="I11" s="22"/>
    </row>
    <row r="12">
      <c r="A12" s="22"/>
      <c r="B12" s="26" t="s">
        <v>45</v>
      </c>
      <c r="C12" s="24">
        <v>5.5</v>
      </c>
      <c r="D12" s="24">
        <v>0.1</v>
      </c>
      <c r="E12" s="24">
        <v>82.7</v>
      </c>
      <c r="F12" s="24">
        <v>10.0</v>
      </c>
      <c r="G12" s="24">
        <v>1.0</v>
      </c>
      <c r="H12" s="22"/>
      <c r="I12" s="22"/>
    </row>
    <row r="13">
      <c r="B13" s="21" t="s">
        <v>46</v>
      </c>
      <c r="C13" s="19">
        <v>1.4</v>
      </c>
      <c r="D13" s="19">
        <v>1.1</v>
      </c>
      <c r="E13" s="19">
        <v>23.4</v>
      </c>
      <c r="F13" s="19">
        <v>4.5</v>
      </c>
      <c r="G13" s="19">
        <v>12.0</v>
      </c>
    </row>
    <row r="14">
      <c r="B14" s="21" t="s">
        <v>47</v>
      </c>
      <c r="C14" s="19">
        <v>1.2</v>
      </c>
      <c r="D14" s="19">
        <v>0.3</v>
      </c>
      <c r="E14" s="19">
        <v>21.0</v>
      </c>
      <c r="F14" s="19">
        <v>4.1</v>
      </c>
      <c r="G14" s="19">
        <v>10.0</v>
      </c>
    </row>
    <row r="15">
      <c r="B15" s="21" t="s">
        <v>48</v>
      </c>
      <c r="C15" s="19">
        <v>2.4</v>
      </c>
      <c r="D15" s="19">
        <v>0.4</v>
      </c>
      <c r="E15" s="19">
        <v>42.2</v>
      </c>
      <c r="F15" s="19">
        <v>9.2</v>
      </c>
      <c r="G15" s="19">
        <v>20.0</v>
      </c>
    </row>
    <row r="16">
      <c r="B16" s="21" t="s">
        <v>49</v>
      </c>
      <c r="C16" s="19">
        <v>1.2</v>
      </c>
      <c r="D16" s="19">
        <v>0.4</v>
      </c>
      <c r="E16" s="19">
        <v>34.2</v>
      </c>
      <c r="F16" s="19">
        <v>1.0</v>
      </c>
      <c r="G16" s="19">
        <v>7.0</v>
      </c>
    </row>
    <row r="17">
      <c r="B17" s="21" t="s">
        <v>50</v>
      </c>
      <c r="C17" s="19">
        <v>1.2</v>
      </c>
      <c r="D17" s="19">
        <v>0.3</v>
      </c>
      <c r="E17" s="19">
        <v>36.4</v>
      </c>
      <c r="F17" s="19">
        <v>1.3</v>
      </c>
      <c r="G17" s="19">
        <v>2.0</v>
      </c>
    </row>
    <row r="18">
      <c r="B18" s="21" t="s">
        <v>51</v>
      </c>
      <c r="C18" s="19">
        <v>0.7</v>
      </c>
      <c r="D18" s="19">
        <v>0.3</v>
      </c>
      <c r="E18" s="19">
        <v>23.8</v>
      </c>
      <c r="F18" s="19">
        <v>1.0</v>
      </c>
      <c r="G18" s="19">
        <v>3.0</v>
      </c>
    </row>
    <row r="19">
      <c r="B19" s="21" t="s">
        <v>52</v>
      </c>
      <c r="C19" s="19">
        <v>0.9</v>
      </c>
      <c r="D19" s="19">
        <v>0.2</v>
      </c>
      <c r="E19" s="19">
        <v>39.8</v>
      </c>
      <c r="F19" s="19">
        <v>1.1</v>
      </c>
      <c r="G19" s="19">
        <v>1.0</v>
      </c>
    </row>
    <row r="20">
      <c r="B20" s="27" t="s">
        <v>53</v>
      </c>
      <c r="C20" s="19">
        <v>1.6</v>
      </c>
      <c r="D20" s="19">
        <v>0.3</v>
      </c>
      <c r="E20" s="19">
        <v>35.4</v>
      </c>
      <c r="F20" s="19">
        <v>0.7</v>
      </c>
      <c r="G20" s="19">
        <v>92.0</v>
      </c>
    </row>
    <row r="21">
      <c r="B21" s="21" t="s">
        <v>54</v>
      </c>
      <c r="C21" s="19">
        <v>0.4</v>
      </c>
      <c r="D21" s="19">
        <v>0.4</v>
      </c>
      <c r="E21" s="19">
        <v>20.6</v>
      </c>
      <c r="F21" s="19">
        <v>4.0</v>
      </c>
      <c r="G21" s="19">
        <v>2.0</v>
      </c>
    </row>
    <row r="22">
      <c r="B22" s="21" t="s">
        <v>55</v>
      </c>
      <c r="C22" s="19">
        <v>2.7</v>
      </c>
      <c r="D22" s="19">
        <v>18.8</v>
      </c>
      <c r="E22" s="19">
        <v>67.1</v>
      </c>
      <c r="F22" s="19">
        <v>3.8</v>
      </c>
      <c r="G22" s="19">
        <v>712.0</v>
      </c>
    </row>
    <row r="23">
      <c r="B23" s="20" t="s">
        <v>56</v>
      </c>
      <c r="C23" s="19">
        <v>0.2</v>
      </c>
      <c r="D23" s="19">
        <v>23.9</v>
      </c>
      <c r="E23" s="19">
        <v>67.6</v>
      </c>
      <c r="F23" s="19">
        <v>14.3</v>
      </c>
      <c r="G23" s="19">
        <v>52.0</v>
      </c>
    </row>
    <row r="24">
      <c r="B24" s="21" t="s">
        <v>57</v>
      </c>
      <c r="C24" s="19">
        <v>6.9</v>
      </c>
      <c r="D24" s="19">
        <v>14.6</v>
      </c>
      <c r="E24" s="19">
        <v>71.3</v>
      </c>
      <c r="F24" s="19">
        <v>5.0</v>
      </c>
      <c r="G24" s="19">
        <v>837.0</v>
      </c>
    </row>
    <row r="25">
      <c r="B25" s="21" t="s">
        <v>58</v>
      </c>
      <c r="C25" s="19">
        <v>4.7</v>
      </c>
      <c r="D25" s="19">
        <v>20.5</v>
      </c>
      <c r="E25" s="19">
        <v>68.5</v>
      </c>
      <c r="F25" s="19">
        <v>5.0</v>
      </c>
      <c r="G25" s="19">
        <v>449.0</v>
      </c>
    </row>
    <row r="26">
      <c r="B26" s="21" t="s">
        <v>59</v>
      </c>
      <c r="C26" s="19">
        <v>1.2</v>
      </c>
      <c r="D26" s="19">
        <v>0.5</v>
      </c>
      <c r="E26" s="19">
        <v>53.2</v>
      </c>
      <c r="F26" s="19">
        <v>2.4</v>
      </c>
      <c r="G26" s="19">
        <v>3.0</v>
      </c>
    </row>
    <row r="27">
      <c r="B27" s="21" t="s">
        <v>60</v>
      </c>
      <c r="C27" s="19">
        <v>0.2</v>
      </c>
      <c r="D27" s="19">
        <v>0.1</v>
      </c>
      <c r="E27" s="19">
        <v>14.9</v>
      </c>
      <c r="F27" s="19">
        <v>0.5</v>
      </c>
      <c r="G27" s="19">
        <v>4.0</v>
      </c>
    </row>
    <row r="28">
      <c r="B28" s="20" t="s">
        <v>61</v>
      </c>
      <c r="C28" s="19">
        <v>8.7</v>
      </c>
      <c r="D28" s="19">
        <v>0.5</v>
      </c>
      <c r="E28" s="19">
        <v>18.3</v>
      </c>
      <c r="F28" s="19">
        <v>1.5</v>
      </c>
      <c r="G28" s="19">
        <v>447.0</v>
      </c>
    </row>
    <row r="29">
      <c r="B29" s="21" t="s">
        <v>62</v>
      </c>
      <c r="C29" s="19">
        <v>32.2</v>
      </c>
      <c r="D29" s="19">
        <v>37.7</v>
      </c>
      <c r="E29" s="19">
        <v>22.9</v>
      </c>
      <c r="F29" s="19">
        <v>7.6</v>
      </c>
      <c r="G29" s="19">
        <v>3.492</v>
      </c>
    </row>
    <row r="30">
      <c r="A30" s="28"/>
      <c r="B30" s="21" t="s">
        <v>63</v>
      </c>
      <c r="C30" s="19">
        <v>20.2</v>
      </c>
      <c r="D30" s="19">
        <v>8.2</v>
      </c>
      <c r="E30" s="19">
        <v>12.7</v>
      </c>
      <c r="F30" s="19">
        <v>1.6</v>
      </c>
      <c r="G30" s="19">
        <v>181.0</v>
      </c>
    </row>
    <row r="31">
      <c r="B31" s="21" t="s">
        <v>64</v>
      </c>
      <c r="C31" s="29">
        <v>10.3</v>
      </c>
      <c r="D31" s="29">
        <v>0.9</v>
      </c>
      <c r="E31" s="29">
        <v>28.2</v>
      </c>
      <c r="F31" s="29">
        <v>2.6</v>
      </c>
      <c r="G31" s="29">
        <v>6.0</v>
      </c>
    </row>
    <row r="32">
      <c r="B32" s="20" t="s">
        <v>65</v>
      </c>
      <c r="C32" s="29">
        <v>10.0</v>
      </c>
      <c r="D32" s="29">
        <v>1.0</v>
      </c>
      <c r="E32" s="29">
        <v>24.7</v>
      </c>
      <c r="F32" s="29">
        <v>3.5</v>
      </c>
      <c r="G32" s="29">
        <v>6.0</v>
      </c>
    </row>
    <row r="33">
      <c r="B33" s="21" t="s">
        <v>66</v>
      </c>
      <c r="C33" s="29">
        <v>20.4</v>
      </c>
      <c r="D33" s="29">
        <v>56.3</v>
      </c>
      <c r="E33" s="29">
        <v>19.8</v>
      </c>
      <c r="F33" s="29">
        <v>1.1</v>
      </c>
      <c r="G33" s="29">
        <v>13.0</v>
      </c>
    </row>
    <row r="34">
      <c r="B34" s="21" t="s">
        <v>67</v>
      </c>
      <c r="C34" s="29">
        <v>13.5</v>
      </c>
      <c r="D34" s="29">
        <v>31.2</v>
      </c>
      <c r="E34" s="29">
        <v>12.8</v>
      </c>
      <c r="F34" s="30">
        <v>0.0</v>
      </c>
      <c r="G34" s="29">
        <v>32.0</v>
      </c>
    </row>
    <row r="35">
      <c r="B35" s="21" t="s">
        <v>68</v>
      </c>
      <c r="C35" s="29">
        <v>2.6</v>
      </c>
      <c r="D35" s="29">
        <v>8.6</v>
      </c>
      <c r="E35" s="29">
        <v>70.0</v>
      </c>
      <c r="F35" s="29">
        <v>0.5</v>
      </c>
      <c r="G35" s="29">
        <v>48.0</v>
      </c>
    </row>
    <row r="36">
      <c r="B36" s="21" t="s">
        <v>69</v>
      </c>
      <c r="C36" s="29">
        <v>17.8</v>
      </c>
      <c r="D36" s="29">
        <v>4.6</v>
      </c>
      <c r="E36" s="29">
        <v>60.7</v>
      </c>
      <c r="F36" s="30">
        <v>0.0</v>
      </c>
      <c r="G36" s="29">
        <v>24.0</v>
      </c>
    </row>
    <row r="37">
      <c r="B37" s="21" t="s">
        <v>70</v>
      </c>
      <c r="C37" s="29">
        <v>27.0</v>
      </c>
      <c r="D37" s="29">
        <v>49.0</v>
      </c>
      <c r="E37" s="29">
        <v>20.9</v>
      </c>
      <c r="F37" s="29">
        <v>1.6</v>
      </c>
      <c r="G37" s="29">
        <v>355.0</v>
      </c>
    </row>
    <row r="38">
      <c r="B38" s="21" t="s">
        <v>71</v>
      </c>
      <c r="C38" s="29">
        <v>30.6</v>
      </c>
      <c r="D38" s="29">
        <v>42.1</v>
      </c>
      <c r="E38" s="29">
        <v>13.8</v>
      </c>
      <c r="F38" s="29">
        <v>13.6</v>
      </c>
      <c r="G38" s="29">
        <v>124.0</v>
      </c>
    </row>
    <row r="39">
      <c r="B39" s="21" t="s">
        <v>72</v>
      </c>
      <c r="C39" s="29">
        <v>8.0</v>
      </c>
      <c r="D39" s="29">
        <v>10.0</v>
      </c>
      <c r="E39" s="29">
        <v>1.3</v>
      </c>
      <c r="F39" s="29">
        <v>0.2</v>
      </c>
      <c r="G39" s="29">
        <v>393.0</v>
      </c>
    </row>
    <row r="40">
      <c r="B40" s="20" t="s">
        <v>73</v>
      </c>
      <c r="C40" s="29">
        <v>2.1</v>
      </c>
      <c r="D40" s="29">
        <v>0.6</v>
      </c>
      <c r="E40" s="29">
        <v>12.5</v>
      </c>
      <c r="F40" s="29">
        <v>5.7</v>
      </c>
      <c r="G40" s="29">
        <v>124.0</v>
      </c>
    </row>
    <row r="41">
      <c r="B41" s="21" t="s">
        <v>74</v>
      </c>
      <c r="C41" s="29">
        <v>3.5</v>
      </c>
      <c r="D41" s="29">
        <v>2.5</v>
      </c>
      <c r="E41" s="29">
        <v>5.0</v>
      </c>
      <c r="F41" s="29">
        <v>0.2</v>
      </c>
      <c r="G41" s="29">
        <v>128.0</v>
      </c>
    </row>
    <row r="42">
      <c r="B42" s="21" t="s">
        <v>75</v>
      </c>
      <c r="C42" s="29">
        <v>9.7</v>
      </c>
      <c r="D42" s="29">
        <v>8.5</v>
      </c>
      <c r="E42" s="29">
        <v>2.5</v>
      </c>
      <c r="F42" s="29">
        <v>0.1</v>
      </c>
      <c r="G42" s="29">
        <v>7.0</v>
      </c>
    </row>
    <row r="43">
      <c r="B43" s="20" t="s">
        <v>76</v>
      </c>
      <c r="C43" s="29">
        <v>12.6</v>
      </c>
      <c r="D43" s="29">
        <v>19.9</v>
      </c>
      <c r="E43" s="29">
        <v>24.6</v>
      </c>
      <c r="F43" s="29">
        <v>0.4</v>
      </c>
      <c r="G43" s="29">
        <v>755.0</v>
      </c>
    </row>
    <row r="44">
      <c r="B44" s="21" t="s">
        <v>77</v>
      </c>
      <c r="C44" s="29">
        <v>20.0</v>
      </c>
      <c r="D44" s="29">
        <v>28.0</v>
      </c>
      <c r="E44" s="29">
        <v>7.8</v>
      </c>
      <c r="F44" s="29">
        <v>3.4</v>
      </c>
      <c r="G44" s="29">
        <v>20.0</v>
      </c>
    </row>
    <row r="45">
      <c r="B45" s="21" t="s">
        <v>78</v>
      </c>
      <c r="C45" s="29">
        <v>2.82</v>
      </c>
      <c r="D45" s="29">
        <v>3.2</v>
      </c>
      <c r="E45" s="29">
        <v>22.03</v>
      </c>
      <c r="F45" s="29">
        <v>0.6</v>
      </c>
      <c r="G45" s="29">
        <v>364.0</v>
      </c>
    </row>
    <row r="46">
      <c r="B46" s="21" t="s">
        <v>79</v>
      </c>
      <c r="C46" s="29">
        <v>1.96</v>
      </c>
      <c r="D46" s="29">
        <v>9.4</v>
      </c>
      <c r="E46" s="29">
        <v>16.18</v>
      </c>
      <c r="F46" s="29">
        <v>1.3</v>
      </c>
      <c r="G46" s="29">
        <v>329.0</v>
      </c>
    </row>
    <row r="47">
      <c r="B47" s="21" t="s">
        <v>80</v>
      </c>
      <c r="C47" s="29">
        <v>4.37</v>
      </c>
      <c r="D47" s="29">
        <v>2.78</v>
      </c>
      <c r="E47" s="29">
        <v>12.7</v>
      </c>
      <c r="F47" s="29">
        <v>1.6</v>
      </c>
      <c r="G47" s="29">
        <v>238.0</v>
      </c>
    </row>
    <row r="48">
      <c r="B48" s="20" t="s">
        <v>81</v>
      </c>
      <c r="C48" s="29">
        <v>0.28</v>
      </c>
      <c r="D48" s="29">
        <v>0.32</v>
      </c>
      <c r="E48" s="29">
        <v>12.31</v>
      </c>
      <c r="F48" s="29">
        <v>1.3</v>
      </c>
      <c r="G48" s="29">
        <v>3.0</v>
      </c>
    </row>
    <row r="49">
      <c r="B49" s="21" t="s">
        <v>82</v>
      </c>
      <c r="C49" s="29">
        <v>0.26</v>
      </c>
      <c r="D49" s="29">
        <v>0.17</v>
      </c>
      <c r="E49" s="29">
        <v>13.81</v>
      </c>
      <c r="F49" s="29">
        <v>2.4</v>
      </c>
      <c r="G49" s="29">
        <v>1.0</v>
      </c>
    </row>
    <row r="50">
      <c r="B50" s="21" t="s">
        <v>83</v>
      </c>
      <c r="C50" s="29">
        <v>2.0</v>
      </c>
      <c r="D50" s="29">
        <v>14.66</v>
      </c>
      <c r="E50" s="29">
        <v>8.53</v>
      </c>
      <c r="F50" s="29">
        <v>6.7</v>
      </c>
      <c r="G50" s="29">
        <v>7.0</v>
      </c>
    </row>
    <row r="51">
      <c r="B51" s="21" t="s">
        <v>84</v>
      </c>
      <c r="C51" s="29">
        <v>1.67</v>
      </c>
      <c r="D51" s="29">
        <v>1.17</v>
      </c>
      <c r="E51" s="29">
        <v>18.7</v>
      </c>
      <c r="F51" s="29">
        <v>4.0</v>
      </c>
      <c r="G51" s="29">
        <v>3.0</v>
      </c>
    </row>
    <row r="52">
      <c r="B52" s="20" t="s">
        <v>85</v>
      </c>
      <c r="C52" s="29">
        <v>2.55</v>
      </c>
      <c r="D52" s="29">
        <v>0.95</v>
      </c>
      <c r="E52" s="29">
        <v>14.32</v>
      </c>
      <c r="F52" s="29">
        <v>5.4</v>
      </c>
      <c r="G52" s="31">
        <v>2.0</v>
      </c>
    </row>
    <row r="53">
      <c r="B53" s="21" t="s">
        <v>86</v>
      </c>
      <c r="C53" s="29">
        <v>0.47</v>
      </c>
      <c r="D53" s="29">
        <v>0.26</v>
      </c>
      <c r="E53" s="29">
        <v>10.82</v>
      </c>
      <c r="F53" s="29">
        <v>1.7</v>
      </c>
      <c r="G53" s="29">
        <v>8.0</v>
      </c>
    </row>
    <row r="54">
      <c r="B54" s="21" t="s">
        <v>87</v>
      </c>
      <c r="C54" s="29">
        <v>0.36</v>
      </c>
      <c r="D54" s="29">
        <v>0.14</v>
      </c>
      <c r="E54" s="29">
        <v>15.23</v>
      </c>
      <c r="F54" s="29">
        <v>3.1</v>
      </c>
      <c r="G54" s="29">
        <v>1.0</v>
      </c>
    </row>
    <row r="55">
      <c r="B55" s="20" t="s">
        <v>88</v>
      </c>
      <c r="C55" s="29">
        <v>1.09</v>
      </c>
      <c r="D55" s="29">
        <v>0.33</v>
      </c>
      <c r="E55" s="29">
        <v>22.84</v>
      </c>
      <c r="F55" s="29">
        <v>2.6</v>
      </c>
      <c r="G55" s="29">
        <v>1.0</v>
      </c>
    </row>
    <row r="56">
      <c r="B56" s="21" t="s">
        <v>89</v>
      </c>
      <c r="C56" s="29">
        <v>0.41</v>
      </c>
      <c r="D56" s="29">
        <v>0.1</v>
      </c>
      <c r="E56" s="29">
        <v>22.36</v>
      </c>
      <c r="F56" s="29">
        <v>1.3</v>
      </c>
      <c r="G56" s="29">
        <v>2.0</v>
      </c>
    </row>
    <row r="57">
      <c r="B57" s="21" t="s">
        <v>90</v>
      </c>
      <c r="C57" s="29">
        <v>4.01</v>
      </c>
      <c r="D57" s="29">
        <v>0.87</v>
      </c>
      <c r="E57" s="29">
        <v>4.8</v>
      </c>
      <c r="F57" s="29">
        <v>3.7</v>
      </c>
      <c r="G57" s="29">
        <v>322.0</v>
      </c>
    </row>
    <row r="58">
      <c r="B58" s="21" t="s">
        <v>91</v>
      </c>
      <c r="C58" s="29">
        <v>4.01</v>
      </c>
      <c r="D58" s="29">
        <v>0.87</v>
      </c>
      <c r="E58" s="29">
        <v>4.8</v>
      </c>
      <c r="F58" s="29">
        <v>3.7</v>
      </c>
      <c r="G58" s="31">
        <v>97.0</v>
      </c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  <row r="1001">
      <c r="B1001" s="9"/>
    </row>
    <row r="1002">
      <c r="B1002" s="9"/>
    </row>
    <row r="1003">
      <c r="B1003" s="9"/>
    </row>
    <row r="1004">
      <c r="B1004" s="9"/>
    </row>
    <row r="1005">
      <c r="B100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E4" s="10"/>
      <c r="F4" s="10"/>
      <c r="G4" s="10"/>
      <c r="H4" s="10"/>
      <c r="M4" s="10"/>
    </row>
    <row r="5">
      <c r="B5" s="32" t="s">
        <v>92</v>
      </c>
      <c r="C5" s="33" t="s">
        <v>93</v>
      </c>
      <c r="D5" s="33" t="s">
        <v>94</v>
      </c>
      <c r="E5" s="33" t="s">
        <v>2</v>
      </c>
      <c r="F5" s="33" t="s">
        <v>1</v>
      </c>
      <c r="G5" s="33" t="s">
        <v>0</v>
      </c>
      <c r="H5" s="33" t="s">
        <v>3</v>
      </c>
      <c r="I5" s="33" t="s">
        <v>95</v>
      </c>
      <c r="J5" s="34" t="s">
        <v>96</v>
      </c>
      <c r="K5" s="35" t="s">
        <v>97</v>
      </c>
      <c r="L5" s="35" t="s">
        <v>98</v>
      </c>
      <c r="M5" s="35" t="s">
        <v>99</v>
      </c>
    </row>
    <row r="6">
      <c r="B6" s="36"/>
      <c r="C6" s="17" t="s">
        <v>38</v>
      </c>
      <c r="D6" s="17" t="s">
        <v>100</v>
      </c>
      <c r="E6" s="17" t="s">
        <v>38</v>
      </c>
      <c r="F6" s="17" t="s">
        <v>38</v>
      </c>
      <c r="G6" s="17" t="s">
        <v>38</v>
      </c>
      <c r="H6" s="17" t="s">
        <v>38</v>
      </c>
      <c r="I6" s="17" t="s">
        <v>38</v>
      </c>
      <c r="J6" s="17" t="s">
        <v>39</v>
      </c>
      <c r="K6" s="17" t="s">
        <v>39</v>
      </c>
      <c r="L6" s="17" t="s">
        <v>39</v>
      </c>
      <c r="M6" s="17" t="s">
        <v>39</v>
      </c>
    </row>
    <row r="7">
      <c r="B7" s="37" t="s">
        <v>101</v>
      </c>
      <c r="C7" s="19">
        <v>56.7</v>
      </c>
      <c r="D7" s="19">
        <v>180.0</v>
      </c>
      <c r="E7" s="19">
        <v>3.0</v>
      </c>
      <c r="F7" s="19">
        <v>0.3</v>
      </c>
      <c r="G7" s="19">
        <v>39.8</v>
      </c>
      <c r="H7" s="19">
        <v>0.2</v>
      </c>
      <c r="I7" s="19">
        <v>0.2</v>
      </c>
      <c r="J7" s="19">
        <v>25.0</v>
      </c>
      <c r="K7" s="19">
        <v>27.0</v>
      </c>
      <c r="L7" s="19">
        <v>0.4</v>
      </c>
      <c r="M7" s="19">
        <v>1.0</v>
      </c>
    </row>
    <row r="8">
      <c r="B8" s="38" t="s">
        <v>102</v>
      </c>
      <c r="C8" s="19">
        <v>2.2</v>
      </c>
      <c r="D8" s="19">
        <v>458.0</v>
      </c>
      <c r="E8" s="19">
        <v>6.9</v>
      </c>
      <c r="F8" s="19">
        <v>14.4</v>
      </c>
      <c r="G8" s="19">
        <v>75.1</v>
      </c>
      <c r="H8" s="19">
        <v>2.1</v>
      </c>
      <c r="I8" s="19">
        <v>1.4</v>
      </c>
      <c r="J8" s="19">
        <v>62.0</v>
      </c>
      <c r="K8" s="19">
        <v>87.0</v>
      </c>
      <c r="L8" s="19">
        <v>2.7</v>
      </c>
      <c r="M8" s="19">
        <v>241.0</v>
      </c>
    </row>
    <row r="9">
      <c r="B9" s="39" t="s">
        <v>103</v>
      </c>
      <c r="C9" s="19">
        <v>80.9</v>
      </c>
      <c r="D9" s="19">
        <v>156.0</v>
      </c>
      <c r="E9" s="19">
        <v>2.3</v>
      </c>
      <c r="F9" s="19">
        <v>0.2</v>
      </c>
      <c r="G9" s="19">
        <v>15.6</v>
      </c>
      <c r="H9" s="19">
        <v>8.2</v>
      </c>
      <c r="I9" s="19">
        <v>1.0</v>
      </c>
      <c r="J9" s="19">
        <v>41.0</v>
      </c>
      <c r="K9" s="19">
        <v>20.0</v>
      </c>
      <c r="L9" s="19">
        <v>0.4</v>
      </c>
      <c r="M9" s="19">
        <v>486.0</v>
      </c>
    </row>
    <row r="10">
      <c r="B10" s="38" t="s">
        <v>104</v>
      </c>
      <c r="C10" s="19">
        <v>74.5</v>
      </c>
      <c r="D10" s="19">
        <v>114.0</v>
      </c>
      <c r="E10" s="19">
        <v>5.3</v>
      </c>
      <c r="F10" s="19">
        <v>3.0</v>
      </c>
      <c r="G10" s="19">
        <v>16.4</v>
      </c>
      <c r="H10" s="19">
        <v>0.1</v>
      </c>
      <c r="I10" s="19">
        <v>0.8</v>
      </c>
      <c r="J10" s="19">
        <v>286.0</v>
      </c>
      <c r="K10" s="19">
        <v>53.0</v>
      </c>
      <c r="L10" s="19">
        <v>1.9</v>
      </c>
      <c r="M10" s="19">
        <v>760.0</v>
      </c>
    </row>
    <row r="11">
      <c r="A11" s="22"/>
      <c r="B11" s="40" t="s">
        <v>105</v>
      </c>
      <c r="C11" s="24">
        <v>12.0</v>
      </c>
      <c r="D11" s="24">
        <v>357.0</v>
      </c>
      <c r="E11" s="24">
        <v>8.4</v>
      </c>
      <c r="F11" s="24">
        <v>1.7</v>
      </c>
      <c r="G11" s="24">
        <v>77.1</v>
      </c>
      <c r="H11" s="24">
        <v>0.2</v>
      </c>
      <c r="I11" s="24">
        <v>0.8</v>
      </c>
      <c r="J11" s="24">
        <v>147.0</v>
      </c>
      <c r="K11" s="24">
        <v>81.0</v>
      </c>
      <c r="L11" s="24">
        <v>1.8</v>
      </c>
      <c r="M11" s="24">
        <v>27.0</v>
      </c>
      <c r="N11" s="25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41" t="s">
        <v>106</v>
      </c>
      <c r="C12" s="24">
        <v>10.8</v>
      </c>
      <c r="D12" s="24">
        <v>358.0</v>
      </c>
      <c r="E12" s="24">
        <v>5.5</v>
      </c>
      <c r="F12" s="24">
        <v>0.1</v>
      </c>
      <c r="G12" s="24">
        <v>82.7</v>
      </c>
      <c r="H12" s="24">
        <v>10.0</v>
      </c>
      <c r="I12" s="24">
        <v>0.9</v>
      </c>
      <c r="J12" s="24">
        <v>20.0</v>
      </c>
      <c r="K12" s="24">
        <v>90.0</v>
      </c>
      <c r="L12" s="24">
        <v>1.4</v>
      </c>
      <c r="M12" s="24">
        <v>1.0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B13" s="39" t="s">
        <v>107</v>
      </c>
      <c r="C13" s="19">
        <v>73.2</v>
      </c>
      <c r="D13" s="19">
        <v>110.0</v>
      </c>
      <c r="E13" s="19">
        <v>1.4</v>
      </c>
      <c r="F13" s="19">
        <v>1.1</v>
      </c>
      <c r="G13" s="19">
        <v>23.4</v>
      </c>
      <c r="H13" s="19">
        <v>4.5</v>
      </c>
      <c r="I13" s="19">
        <v>0.7</v>
      </c>
      <c r="J13" s="19">
        <v>1.0</v>
      </c>
      <c r="K13" s="19">
        <v>46.0</v>
      </c>
      <c r="L13" s="19">
        <v>0.2</v>
      </c>
      <c r="M13" s="19">
        <v>12.0</v>
      </c>
    </row>
    <row r="14">
      <c r="B14" s="39" t="s">
        <v>108</v>
      </c>
      <c r="C14" s="19">
        <v>75.7</v>
      </c>
      <c r="D14" s="19">
        <v>92.0</v>
      </c>
      <c r="E14" s="19">
        <v>1.2</v>
      </c>
      <c r="F14" s="19">
        <v>0.3</v>
      </c>
      <c r="G14" s="19">
        <v>21.0</v>
      </c>
      <c r="H14" s="19">
        <v>4.1</v>
      </c>
      <c r="I14" s="19">
        <v>1.8</v>
      </c>
      <c r="J14" s="42" t="s">
        <v>109</v>
      </c>
      <c r="K14" s="19">
        <v>42.0</v>
      </c>
      <c r="L14" s="19">
        <v>0.2</v>
      </c>
      <c r="M14" s="19">
        <v>10.0</v>
      </c>
    </row>
    <row r="15">
      <c r="B15" s="39" t="s">
        <v>110</v>
      </c>
      <c r="C15" s="19">
        <v>53.2</v>
      </c>
      <c r="D15" s="19">
        <v>182.0</v>
      </c>
      <c r="E15" s="19">
        <v>2.4</v>
      </c>
      <c r="F15" s="19">
        <v>0.4</v>
      </c>
      <c r="G15" s="19">
        <v>42.2</v>
      </c>
      <c r="H15" s="19">
        <v>9.2</v>
      </c>
      <c r="I15" s="19">
        <v>1.8</v>
      </c>
      <c r="J15" s="19">
        <v>1.0</v>
      </c>
      <c r="K15" s="19">
        <v>80.0</v>
      </c>
      <c r="L15" s="19">
        <v>0.3</v>
      </c>
      <c r="M15" s="19">
        <v>20.0</v>
      </c>
    </row>
    <row r="16">
      <c r="B16" s="39" t="s">
        <v>111</v>
      </c>
      <c r="C16" s="19">
        <v>63.1</v>
      </c>
      <c r="D16" s="19">
        <v>145.0</v>
      </c>
      <c r="E16" s="19">
        <v>1.2</v>
      </c>
      <c r="F16" s="19">
        <v>0.4</v>
      </c>
      <c r="G16" s="19">
        <v>34.2</v>
      </c>
      <c r="H16" s="19">
        <v>1.0</v>
      </c>
      <c r="I16" s="19">
        <v>1.1</v>
      </c>
      <c r="J16" s="19">
        <v>21.0</v>
      </c>
      <c r="K16" s="19">
        <v>48.0</v>
      </c>
      <c r="L16" s="19">
        <v>0.9</v>
      </c>
      <c r="M16" s="19">
        <v>7.0</v>
      </c>
    </row>
    <row r="17">
      <c r="B17" s="39" t="s">
        <v>112</v>
      </c>
      <c r="C17" s="19">
        <v>61.5</v>
      </c>
      <c r="D17" s="19">
        <v>153.0</v>
      </c>
      <c r="E17" s="19">
        <v>1.2</v>
      </c>
      <c r="F17" s="19">
        <v>0.3</v>
      </c>
      <c r="G17" s="19">
        <v>36.4</v>
      </c>
      <c r="H17" s="19">
        <v>1.3</v>
      </c>
      <c r="I17" s="19">
        <v>0.6</v>
      </c>
      <c r="J17" s="19">
        <v>56.0</v>
      </c>
      <c r="K17" s="19">
        <v>22.0</v>
      </c>
      <c r="L17" s="19">
        <v>0.4</v>
      </c>
      <c r="M17" s="19">
        <v>2.0</v>
      </c>
    </row>
    <row r="18">
      <c r="B18" s="39" t="s">
        <v>113</v>
      </c>
      <c r="C18" s="19">
        <v>74.2</v>
      </c>
      <c r="D18" s="19">
        <v>100.0</v>
      </c>
      <c r="E18" s="19">
        <v>0.7</v>
      </c>
      <c r="F18" s="19">
        <v>0.3</v>
      </c>
      <c r="G18" s="19">
        <v>23.8</v>
      </c>
      <c r="H18" s="19">
        <v>1.0</v>
      </c>
      <c r="I18" s="19">
        <v>1.0</v>
      </c>
      <c r="J18" s="19">
        <v>44.0</v>
      </c>
      <c r="K18" s="19">
        <v>46.0</v>
      </c>
      <c r="L18" s="19">
        <v>0.4</v>
      </c>
      <c r="M18" s="19">
        <v>3.0</v>
      </c>
    </row>
    <row r="19">
      <c r="B19" s="39" t="s">
        <v>114</v>
      </c>
      <c r="C19" s="19">
        <v>58.5</v>
      </c>
      <c r="D19" s="19">
        <v>165.0</v>
      </c>
      <c r="E19" s="19">
        <v>0.9</v>
      </c>
      <c r="F19" s="19">
        <v>0.2</v>
      </c>
      <c r="G19" s="19">
        <v>39.8</v>
      </c>
      <c r="H19" s="19">
        <v>1.1</v>
      </c>
      <c r="I19" s="19">
        <v>0.6</v>
      </c>
      <c r="J19" s="19">
        <v>20.0</v>
      </c>
      <c r="K19" s="19">
        <v>23.0</v>
      </c>
      <c r="L19" s="19">
        <v>0.8</v>
      </c>
      <c r="M19" s="19">
        <v>1.0</v>
      </c>
    </row>
    <row r="20">
      <c r="B20" s="43" t="s">
        <v>115</v>
      </c>
      <c r="C20" s="19">
        <v>61.9</v>
      </c>
      <c r="D20" s="19">
        <v>151.0</v>
      </c>
      <c r="E20" s="19">
        <v>1.6</v>
      </c>
      <c r="F20" s="19">
        <v>0.3</v>
      </c>
      <c r="G20" s="19">
        <v>35.4</v>
      </c>
      <c r="H20" s="19">
        <v>0.7</v>
      </c>
      <c r="I20" s="19">
        <v>0.6</v>
      </c>
      <c r="J20" s="19">
        <v>29.0</v>
      </c>
      <c r="K20" s="19">
        <v>74.0</v>
      </c>
      <c r="L20" s="19">
        <v>0.7</v>
      </c>
      <c r="M20" s="19">
        <v>92.0</v>
      </c>
    </row>
    <row r="21">
      <c r="B21" s="39" t="s">
        <v>116</v>
      </c>
      <c r="C21" s="19">
        <v>77.8</v>
      </c>
      <c r="D21" s="19">
        <v>88.0</v>
      </c>
      <c r="E21" s="19">
        <v>0.4</v>
      </c>
      <c r="F21" s="19">
        <v>0.4</v>
      </c>
      <c r="G21" s="19">
        <v>20.6</v>
      </c>
      <c r="H21" s="19">
        <v>4.0</v>
      </c>
      <c r="I21" s="19">
        <v>0.8</v>
      </c>
      <c r="J21" s="19">
        <v>30.0</v>
      </c>
      <c r="K21" s="19">
        <v>10.0</v>
      </c>
      <c r="L21" s="19">
        <v>0.5</v>
      </c>
      <c r="M21" s="19">
        <v>2.0</v>
      </c>
    </row>
    <row r="22">
      <c r="B22" s="39" t="s">
        <v>117</v>
      </c>
      <c r="C22" s="19">
        <v>7.8</v>
      </c>
      <c r="D22" s="19">
        <v>448.0</v>
      </c>
      <c r="E22" s="19">
        <v>2.7</v>
      </c>
      <c r="F22" s="19">
        <v>18.8</v>
      </c>
      <c r="G22" s="19">
        <v>67.1</v>
      </c>
      <c r="H22" s="19">
        <v>3.8</v>
      </c>
      <c r="I22" s="19">
        <v>3.6</v>
      </c>
      <c r="J22" s="19">
        <v>25.0</v>
      </c>
      <c r="K22" s="19">
        <v>130.0</v>
      </c>
      <c r="L22" s="19">
        <v>1.2</v>
      </c>
      <c r="M22" s="19">
        <v>712.0</v>
      </c>
    </row>
    <row r="23">
      <c r="B23" s="38" t="s">
        <v>118</v>
      </c>
      <c r="C23" s="19">
        <v>6.0</v>
      </c>
      <c r="D23" s="19">
        <v>486.0</v>
      </c>
      <c r="E23" s="19">
        <v>0.2</v>
      </c>
      <c r="F23" s="19">
        <v>23.9</v>
      </c>
      <c r="G23" s="19">
        <v>67.6</v>
      </c>
      <c r="H23" s="19">
        <v>14.3</v>
      </c>
      <c r="I23" s="19">
        <v>2.3</v>
      </c>
      <c r="J23" s="19">
        <v>68.0</v>
      </c>
      <c r="K23" s="19">
        <v>92.0</v>
      </c>
      <c r="L23" s="19">
        <v>0.9</v>
      </c>
      <c r="M23" s="19">
        <v>52.0</v>
      </c>
    </row>
    <row r="24">
      <c r="B24" s="39" t="s">
        <v>119</v>
      </c>
      <c r="C24" s="19">
        <v>3.4</v>
      </c>
      <c r="D24" s="19">
        <v>444.0</v>
      </c>
      <c r="E24" s="19">
        <v>6.9</v>
      </c>
      <c r="F24" s="19">
        <v>14.6</v>
      </c>
      <c r="G24" s="19">
        <v>71.3</v>
      </c>
      <c r="H24" s="19">
        <v>5.0</v>
      </c>
      <c r="I24" s="19">
        <v>3.8</v>
      </c>
      <c r="J24" s="19">
        <v>47.0</v>
      </c>
      <c r="K24" s="19">
        <v>375.0</v>
      </c>
      <c r="L24" s="19">
        <v>1.8</v>
      </c>
      <c r="M24" s="19">
        <v>837.0</v>
      </c>
    </row>
    <row r="25">
      <c r="B25" s="39" t="s">
        <v>120</v>
      </c>
      <c r="C25" s="19">
        <v>4.4</v>
      </c>
      <c r="D25" s="19">
        <v>477.0</v>
      </c>
      <c r="E25" s="19">
        <v>4.7</v>
      </c>
      <c r="F25" s="19">
        <v>20.5</v>
      </c>
      <c r="G25" s="19">
        <v>68.5</v>
      </c>
      <c r="H25" s="19">
        <v>5.0</v>
      </c>
      <c r="I25" s="19">
        <v>1.9</v>
      </c>
      <c r="J25" s="19">
        <v>24.0</v>
      </c>
      <c r="K25" s="19">
        <v>188.0</v>
      </c>
      <c r="L25" s="19">
        <v>0.9</v>
      </c>
      <c r="M25" s="19">
        <v>449.0</v>
      </c>
    </row>
    <row r="26">
      <c r="B26" s="39" t="s">
        <v>121</v>
      </c>
      <c r="C26" s="19">
        <v>44.2</v>
      </c>
      <c r="D26" s="19">
        <v>217.0</v>
      </c>
      <c r="E26" s="19">
        <v>1.2</v>
      </c>
      <c r="F26" s="19">
        <v>0.5</v>
      </c>
      <c r="G26" s="19">
        <v>53.2</v>
      </c>
      <c r="H26" s="19">
        <v>2.4</v>
      </c>
      <c r="I26" s="19">
        <v>0.9</v>
      </c>
      <c r="J26" s="19">
        <v>48.0</v>
      </c>
      <c r="K26" s="19">
        <v>68.0</v>
      </c>
      <c r="L26" s="19">
        <v>1.5</v>
      </c>
      <c r="M26" s="19">
        <v>3.0</v>
      </c>
    </row>
    <row r="27">
      <c r="B27" s="39" t="s">
        <v>122</v>
      </c>
      <c r="C27" s="19">
        <v>84.8</v>
      </c>
      <c r="D27" s="19">
        <v>61.0</v>
      </c>
      <c r="E27" s="19">
        <v>0.2</v>
      </c>
      <c r="F27" s="19">
        <v>0.1</v>
      </c>
      <c r="G27" s="19">
        <v>14.9</v>
      </c>
      <c r="H27" s="19">
        <v>0.5</v>
      </c>
      <c r="I27" s="19">
        <v>0.1</v>
      </c>
      <c r="J27" s="19">
        <v>3.0</v>
      </c>
      <c r="K27" s="19">
        <v>1.0</v>
      </c>
      <c r="L27" s="19">
        <v>0.2</v>
      </c>
      <c r="M27" s="19">
        <v>4.0</v>
      </c>
    </row>
    <row r="28">
      <c r="B28" s="38" t="s">
        <v>123</v>
      </c>
      <c r="C28" s="19">
        <v>71.3</v>
      </c>
      <c r="D28" s="19">
        <v>109.0</v>
      </c>
      <c r="E28" s="19">
        <v>8.7</v>
      </c>
      <c r="F28" s="19">
        <v>0.5</v>
      </c>
      <c r="G28" s="19">
        <v>18.3</v>
      </c>
      <c r="H28" s="19">
        <v>1.5</v>
      </c>
      <c r="I28" s="19">
        <v>1.2</v>
      </c>
      <c r="J28" s="19">
        <v>95.0</v>
      </c>
      <c r="K28" s="19">
        <v>149.0</v>
      </c>
      <c r="L28" s="19">
        <v>1.5</v>
      </c>
      <c r="M28" s="19">
        <v>447.0</v>
      </c>
    </row>
    <row r="29">
      <c r="B29" s="39" t="s">
        <v>124</v>
      </c>
      <c r="C29" s="19">
        <v>9.6</v>
      </c>
      <c r="D29" s="19">
        <v>521.0</v>
      </c>
      <c r="E29" s="19">
        <v>32.2</v>
      </c>
      <c r="F29" s="19">
        <v>37.7</v>
      </c>
      <c r="G29" s="19">
        <v>22.9</v>
      </c>
      <c r="H29" s="19">
        <v>7.6</v>
      </c>
      <c r="I29" s="19">
        <v>3.7</v>
      </c>
      <c r="J29" s="19">
        <v>296.0</v>
      </c>
      <c r="K29" s="19">
        <v>800.0</v>
      </c>
      <c r="L29" s="19">
        <v>6.5</v>
      </c>
      <c r="M29" s="19">
        <v>3.492</v>
      </c>
    </row>
    <row r="30">
      <c r="A30" s="28"/>
      <c r="B30" s="39" t="s">
        <v>125</v>
      </c>
      <c r="C30" s="19">
        <v>56.8</v>
      </c>
      <c r="D30" s="19">
        <v>189.0</v>
      </c>
      <c r="E30" s="19">
        <v>20.2</v>
      </c>
      <c r="F30" s="19">
        <v>8.2</v>
      </c>
      <c r="G30" s="19">
        <v>12.7</v>
      </c>
      <c r="H30" s="19">
        <v>1.6</v>
      </c>
      <c r="I30" s="19">
        <v>2.1</v>
      </c>
      <c r="J30" s="19">
        <v>91.0</v>
      </c>
      <c r="K30" s="19">
        <v>270.0</v>
      </c>
      <c r="L30" s="19">
        <v>3.9</v>
      </c>
      <c r="M30" s="19">
        <v>181.0</v>
      </c>
    </row>
    <row r="31">
      <c r="B31" s="39" t="s">
        <v>126</v>
      </c>
      <c r="C31" s="29">
        <v>59.6</v>
      </c>
      <c r="D31" s="29">
        <v>158.0</v>
      </c>
      <c r="E31" s="29">
        <v>10.3</v>
      </c>
      <c r="F31" s="29">
        <v>0.9</v>
      </c>
      <c r="G31" s="29">
        <v>28.2</v>
      </c>
      <c r="H31" s="29">
        <v>2.6</v>
      </c>
      <c r="I31" s="29">
        <v>1.0</v>
      </c>
      <c r="J31" s="29">
        <v>160.0</v>
      </c>
      <c r="K31" s="29">
        <v>149.0</v>
      </c>
      <c r="L31" s="29">
        <v>3.7</v>
      </c>
      <c r="M31" s="29">
        <v>6.0</v>
      </c>
    </row>
    <row r="32">
      <c r="B32" s="38" t="s">
        <v>127</v>
      </c>
      <c r="C32" s="29">
        <v>63.1</v>
      </c>
      <c r="D32" s="29">
        <v>144.0</v>
      </c>
      <c r="E32" s="29">
        <v>10.0</v>
      </c>
      <c r="F32" s="29">
        <v>1.0</v>
      </c>
      <c r="G32" s="29">
        <v>24.7</v>
      </c>
      <c r="H32" s="29">
        <v>3.5</v>
      </c>
      <c r="I32" s="29">
        <v>1.2</v>
      </c>
      <c r="J32" s="29">
        <v>144.0</v>
      </c>
      <c r="K32" s="29">
        <v>150.0</v>
      </c>
      <c r="L32" s="29">
        <v>2.8</v>
      </c>
      <c r="M32" s="29">
        <v>6.0</v>
      </c>
    </row>
    <row r="33">
      <c r="B33" s="39" t="s">
        <v>128</v>
      </c>
      <c r="C33" s="29">
        <v>1.0</v>
      </c>
      <c r="D33" s="29">
        <v>629.0</v>
      </c>
      <c r="E33" s="29">
        <v>20.4</v>
      </c>
      <c r="F33" s="29">
        <v>56.3</v>
      </c>
      <c r="G33" s="29">
        <v>19.8</v>
      </c>
      <c r="H33" s="29">
        <v>1.1</v>
      </c>
      <c r="I33" s="29">
        <v>2.5</v>
      </c>
      <c r="J33" s="29">
        <v>502.0</v>
      </c>
      <c r="K33" s="29">
        <v>493.0</v>
      </c>
      <c r="L33" s="29">
        <v>8.0</v>
      </c>
      <c r="M33" s="29">
        <v>13.0</v>
      </c>
    </row>
    <row r="34">
      <c r="B34" s="39" t="s">
        <v>129</v>
      </c>
      <c r="C34" s="29">
        <v>40.2</v>
      </c>
      <c r="D34" s="29">
        <v>360.0</v>
      </c>
      <c r="E34" s="29">
        <v>13.5</v>
      </c>
      <c r="F34" s="29">
        <v>31.2</v>
      </c>
      <c r="G34" s="29">
        <v>12.8</v>
      </c>
      <c r="H34" s="44" t="s">
        <v>109</v>
      </c>
      <c r="I34" s="29">
        <v>2.3</v>
      </c>
      <c r="J34" s="29">
        <v>42.0</v>
      </c>
      <c r="K34" s="29">
        <v>177.0</v>
      </c>
      <c r="L34" s="29">
        <v>1.4</v>
      </c>
      <c r="M34" s="29">
        <v>32.0</v>
      </c>
    </row>
    <row r="35">
      <c r="B35" s="39" t="s">
        <v>130</v>
      </c>
      <c r="C35" s="29">
        <v>17.3</v>
      </c>
      <c r="D35" s="29">
        <v>368.0</v>
      </c>
      <c r="E35" s="29">
        <v>2.6</v>
      </c>
      <c r="F35" s="29">
        <v>8.6</v>
      </c>
      <c r="G35" s="29">
        <v>70.0</v>
      </c>
      <c r="H35" s="29">
        <v>0.5</v>
      </c>
      <c r="I35" s="29">
        <v>1.5</v>
      </c>
      <c r="J35" s="29">
        <v>51.0</v>
      </c>
      <c r="K35" s="29">
        <v>180.0</v>
      </c>
      <c r="L35" s="29">
        <v>3.3</v>
      </c>
      <c r="M35" s="29">
        <v>48.0</v>
      </c>
    </row>
    <row r="36">
      <c r="B36" s="39" t="s">
        <v>131</v>
      </c>
      <c r="C36" s="29">
        <v>14.2</v>
      </c>
      <c r="D36" s="29">
        <v>355.0</v>
      </c>
      <c r="E36" s="29">
        <v>17.8</v>
      </c>
      <c r="F36" s="29">
        <v>4.6</v>
      </c>
      <c r="G36" s="29">
        <v>60.7</v>
      </c>
      <c r="H36" s="44" t="s">
        <v>109</v>
      </c>
      <c r="I36" s="29">
        <v>2.7</v>
      </c>
      <c r="J36" s="29">
        <v>87.0</v>
      </c>
      <c r="K36" s="29">
        <v>304.0</v>
      </c>
      <c r="L36" s="29">
        <v>4.3</v>
      </c>
      <c r="M36" s="29">
        <v>24.0</v>
      </c>
    </row>
    <row r="37">
      <c r="B37" s="39" t="s">
        <v>132</v>
      </c>
      <c r="C37" s="29">
        <v>3.0</v>
      </c>
      <c r="D37" s="29">
        <v>590.0</v>
      </c>
      <c r="E37" s="29">
        <v>27.0</v>
      </c>
      <c r="F37" s="29">
        <v>49.0</v>
      </c>
      <c r="G37" s="29">
        <v>20.9</v>
      </c>
      <c r="H37" s="29">
        <v>1.6</v>
      </c>
      <c r="I37" s="29">
        <v>0.1</v>
      </c>
      <c r="J37" s="29">
        <v>60.0</v>
      </c>
      <c r="K37" s="29">
        <v>360.0</v>
      </c>
      <c r="L37" s="29">
        <v>2.0</v>
      </c>
      <c r="M37" s="29">
        <v>355.0</v>
      </c>
    </row>
    <row r="38">
      <c r="B38" s="39" t="s">
        <v>133</v>
      </c>
      <c r="C38" s="29">
        <v>9.9</v>
      </c>
      <c r="D38" s="29">
        <v>515.0</v>
      </c>
      <c r="E38" s="29">
        <v>30.6</v>
      </c>
      <c r="F38" s="29">
        <v>42.1</v>
      </c>
      <c r="G38" s="29">
        <v>13.8</v>
      </c>
      <c r="H38" s="29">
        <v>13.6</v>
      </c>
      <c r="I38" s="29">
        <v>3.7</v>
      </c>
      <c r="J38" s="29">
        <v>54.0</v>
      </c>
      <c r="K38" s="29">
        <v>312.0</v>
      </c>
      <c r="L38" s="29">
        <v>6.2</v>
      </c>
      <c r="M38" s="29">
        <v>124.0</v>
      </c>
    </row>
    <row r="39">
      <c r="B39" s="39" t="s">
        <v>134</v>
      </c>
      <c r="C39" s="29">
        <v>79.9</v>
      </c>
      <c r="D39" s="29">
        <v>128.0</v>
      </c>
      <c r="E39" s="29">
        <v>8.0</v>
      </c>
      <c r="F39" s="29">
        <v>10.0</v>
      </c>
      <c r="G39" s="29">
        <v>1.3</v>
      </c>
      <c r="H39" s="29">
        <v>0.2</v>
      </c>
      <c r="I39" s="29">
        <v>0.8</v>
      </c>
      <c r="J39" s="29">
        <v>205.0</v>
      </c>
      <c r="K39" s="29">
        <v>92.0</v>
      </c>
      <c r="L39" s="29">
        <v>2.5</v>
      </c>
      <c r="M39" s="29">
        <v>393.0</v>
      </c>
    </row>
    <row r="40">
      <c r="B40" s="38" t="s">
        <v>135</v>
      </c>
      <c r="C40" s="29">
        <v>83.9</v>
      </c>
      <c r="D40" s="29">
        <v>64.0</v>
      </c>
      <c r="E40" s="29">
        <v>2.1</v>
      </c>
      <c r="F40" s="29">
        <v>0.6</v>
      </c>
      <c r="G40" s="29">
        <v>12.5</v>
      </c>
      <c r="H40" s="29">
        <v>5.7</v>
      </c>
      <c r="I40" s="29">
        <v>0.9</v>
      </c>
      <c r="J40" s="29">
        <v>21.0</v>
      </c>
      <c r="K40" s="29">
        <v>2.0</v>
      </c>
      <c r="L40" s="29">
        <v>1.0</v>
      </c>
      <c r="M40" s="29">
        <v>124.0</v>
      </c>
    </row>
    <row r="41">
      <c r="B41" s="39" t="s">
        <v>136</v>
      </c>
      <c r="C41" s="29">
        <v>87.0</v>
      </c>
      <c r="D41" s="29">
        <v>41.0</v>
      </c>
      <c r="E41" s="29">
        <v>3.5</v>
      </c>
      <c r="F41" s="29">
        <v>2.5</v>
      </c>
      <c r="G41" s="29">
        <v>5.0</v>
      </c>
      <c r="H41" s="29">
        <v>0.2</v>
      </c>
      <c r="I41" s="29">
        <v>2.0</v>
      </c>
      <c r="J41" s="29">
        <v>50.0</v>
      </c>
      <c r="K41" s="29">
        <v>45.0</v>
      </c>
      <c r="L41" s="29">
        <v>0.7</v>
      </c>
      <c r="M41" s="29">
        <v>128.0</v>
      </c>
    </row>
    <row r="42">
      <c r="B42" s="39" t="s">
        <v>137</v>
      </c>
      <c r="C42" s="29">
        <v>77.3</v>
      </c>
      <c r="D42" s="29">
        <v>115.0</v>
      </c>
      <c r="E42" s="29">
        <v>9.7</v>
      </c>
      <c r="F42" s="29">
        <v>8.5</v>
      </c>
      <c r="G42" s="29">
        <v>2.5</v>
      </c>
      <c r="H42" s="29">
        <v>0.1</v>
      </c>
      <c r="I42" s="29">
        <v>2.0</v>
      </c>
      <c r="J42" s="29">
        <v>229.0</v>
      </c>
      <c r="K42" s="29">
        <v>200.0</v>
      </c>
      <c r="L42" s="29">
        <v>4.1</v>
      </c>
      <c r="M42" s="29">
        <v>7.0</v>
      </c>
    </row>
    <row r="43">
      <c r="B43" s="38" t="s">
        <v>138</v>
      </c>
      <c r="C43" s="29">
        <v>41.8</v>
      </c>
      <c r="D43" s="29">
        <v>328.0</v>
      </c>
      <c r="E43" s="29">
        <v>12.6</v>
      </c>
      <c r="F43" s="29">
        <v>19.9</v>
      </c>
      <c r="G43" s="29">
        <v>24.6</v>
      </c>
      <c r="H43" s="29">
        <v>0.4</v>
      </c>
      <c r="I43" s="29">
        <v>1.1</v>
      </c>
      <c r="J43" s="29">
        <v>492.0</v>
      </c>
      <c r="K43" s="29">
        <v>238.0</v>
      </c>
      <c r="L43" s="29">
        <v>4.9</v>
      </c>
      <c r="M43" s="29">
        <v>755.0</v>
      </c>
    </row>
    <row r="44">
      <c r="B44" s="39" t="s">
        <v>139</v>
      </c>
      <c r="C44" s="29">
        <v>42.9</v>
      </c>
      <c r="D44" s="29">
        <v>336.0</v>
      </c>
      <c r="E44" s="29">
        <v>20.0</v>
      </c>
      <c r="F44" s="29">
        <v>28.0</v>
      </c>
      <c r="G44" s="29">
        <v>7.8</v>
      </c>
      <c r="H44" s="29">
        <v>3.4</v>
      </c>
      <c r="I44" s="29">
        <v>1.3</v>
      </c>
      <c r="J44" s="29">
        <v>156.0</v>
      </c>
      <c r="K44" s="29">
        <v>350.0</v>
      </c>
      <c r="L44" s="29">
        <v>3.0</v>
      </c>
      <c r="M44" s="29">
        <v>20.0</v>
      </c>
    </row>
    <row r="45">
      <c r="B45" s="45"/>
      <c r="C45" s="46"/>
      <c r="D45" s="46"/>
      <c r="E45" s="47"/>
      <c r="F45" s="47"/>
      <c r="G45" s="46"/>
      <c r="H45" s="47"/>
      <c r="I45" s="47"/>
      <c r="J45" s="46"/>
      <c r="K45" s="46"/>
      <c r="L45" s="46"/>
      <c r="M45" s="46"/>
      <c r="N45" s="12"/>
      <c r="O45" s="12"/>
      <c r="P45" s="48"/>
    </row>
    <row r="46">
      <c r="B46" s="45"/>
      <c r="C46" s="35" t="s">
        <v>140</v>
      </c>
      <c r="D46" s="35" t="s">
        <v>141</v>
      </c>
      <c r="E46" s="35" t="s">
        <v>142</v>
      </c>
      <c r="F46" s="35" t="s">
        <v>143</v>
      </c>
      <c r="G46" s="35" t="s">
        <v>144</v>
      </c>
      <c r="H46" s="35" t="s">
        <v>145</v>
      </c>
      <c r="I46" s="35" t="s">
        <v>146</v>
      </c>
      <c r="J46" s="35" t="s">
        <v>147</v>
      </c>
      <c r="K46" s="35" t="s">
        <v>148</v>
      </c>
      <c r="L46" s="35" t="s">
        <v>149</v>
      </c>
      <c r="M46" s="35" t="s">
        <v>150</v>
      </c>
      <c r="N46" s="35" t="s">
        <v>151</v>
      </c>
      <c r="O46" s="35" t="s">
        <v>152</v>
      </c>
      <c r="P46" s="35" t="s">
        <v>153</v>
      </c>
    </row>
    <row r="47">
      <c r="B47" s="39" t="s">
        <v>154</v>
      </c>
      <c r="C47" s="29">
        <v>70.93</v>
      </c>
      <c r="D47" s="29">
        <v>129.0</v>
      </c>
      <c r="E47" s="29">
        <v>2.82</v>
      </c>
      <c r="F47" s="29">
        <v>3.2</v>
      </c>
      <c r="G47" s="29">
        <v>1.01</v>
      </c>
      <c r="H47" s="29">
        <v>22.03</v>
      </c>
      <c r="I47" s="29">
        <v>0.6</v>
      </c>
      <c r="J47" s="44" t="s">
        <v>109</v>
      </c>
      <c r="K47" s="29">
        <v>10.0</v>
      </c>
      <c r="L47" s="29">
        <v>0.88</v>
      </c>
      <c r="M47" s="29">
        <v>10.0</v>
      </c>
      <c r="N47" s="29">
        <v>33.0</v>
      </c>
      <c r="O47" s="29">
        <v>48.0</v>
      </c>
      <c r="P47" s="29">
        <v>364.0</v>
      </c>
    </row>
    <row r="48">
      <c r="B48" s="39" t="s">
        <v>155</v>
      </c>
      <c r="C48" s="29">
        <v>70.99</v>
      </c>
      <c r="D48" s="29">
        <v>157.0</v>
      </c>
      <c r="E48" s="29">
        <v>1.96</v>
      </c>
      <c r="F48" s="29">
        <v>9.4</v>
      </c>
      <c r="G48" s="29">
        <v>1.47</v>
      </c>
      <c r="H48" s="29">
        <v>16.18</v>
      </c>
      <c r="I48" s="29">
        <v>1.3</v>
      </c>
      <c r="J48" s="29">
        <v>4.95</v>
      </c>
      <c r="K48" s="29">
        <v>15.0</v>
      </c>
      <c r="L48" s="29">
        <v>0.5</v>
      </c>
      <c r="M48" s="29">
        <v>15.0</v>
      </c>
      <c r="N48" s="29">
        <v>53.0</v>
      </c>
      <c r="O48" s="29">
        <v>242.0</v>
      </c>
      <c r="P48" s="29">
        <v>329.0</v>
      </c>
    </row>
    <row r="49">
      <c r="B49" s="39" t="s">
        <v>156</v>
      </c>
      <c r="C49" s="29">
        <v>78.1</v>
      </c>
      <c r="D49" s="29">
        <v>95.0</v>
      </c>
      <c r="E49" s="29">
        <v>4.37</v>
      </c>
      <c r="F49" s="29">
        <v>2.78</v>
      </c>
      <c r="G49" s="29">
        <v>2.06</v>
      </c>
      <c r="H49" s="29">
        <v>12.7</v>
      </c>
      <c r="I49" s="29">
        <v>1.6</v>
      </c>
      <c r="J49" s="29">
        <v>3.17</v>
      </c>
      <c r="K49" s="29">
        <v>60.0</v>
      </c>
      <c r="L49" s="29">
        <v>1.43</v>
      </c>
      <c r="M49" s="29">
        <v>16.0</v>
      </c>
      <c r="N49" s="29">
        <v>79.0</v>
      </c>
      <c r="O49" s="29">
        <v>282.0</v>
      </c>
      <c r="P49" s="29">
        <v>238.0</v>
      </c>
    </row>
    <row r="50">
      <c r="B50" s="38" t="s">
        <v>157</v>
      </c>
      <c r="C50" s="29">
        <v>86.85</v>
      </c>
      <c r="D50" s="29">
        <v>48.0</v>
      </c>
      <c r="E50" s="29">
        <v>0.28</v>
      </c>
      <c r="F50" s="29">
        <v>0.32</v>
      </c>
      <c r="G50" s="29">
        <v>0.24</v>
      </c>
      <c r="H50" s="29">
        <v>12.31</v>
      </c>
      <c r="I50" s="29">
        <v>1.3</v>
      </c>
      <c r="J50" s="29">
        <v>10.1</v>
      </c>
      <c r="K50" s="29">
        <v>4.0</v>
      </c>
      <c r="L50" s="29">
        <v>0.18</v>
      </c>
      <c r="M50" s="29">
        <v>3.0</v>
      </c>
      <c r="N50" s="29">
        <v>8.0</v>
      </c>
      <c r="O50" s="29">
        <v>77.0</v>
      </c>
      <c r="P50" s="29">
        <v>3.0</v>
      </c>
    </row>
    <row r="51">
      <c r="B51" s="39" t="s">
        <v>158</v>
      </c>
      <c r="C51" s="29">
        <v>85.56</v>
      </c>
      <c r="D51" s="29">
        <v>52.0</v>
      </c>
      <c r="E51" s="29">
        <v>0.26</v>
      </c>
      <c r="F51" s="29">
        <v>0.17</v>
      </c>
      <c r="G51" s="29">
        <v>0.19</v>
      </c>
      <c r="H51" s="29">
        <v>13.81</v>
      </c>
      <c r="I51" s="29">
        <v>2.4</v>
      </c>
      <c r="J51" s="29">
        <v>10.39</v>
      </c>
      <c r="K51" s="29">
        <v>6.0</v>
      </c>
      <c r="L51" s="29">
        <v>0.12</v>
      </c>
      <c r="M51" s="29">
        <v>5.0</v>
      </c>
      <c r="N51" s="29">
        <v>11.0</v>
      </c>
      <c r="O51" s="29">
        <v>107.0</v>
      </c>
      <c r="P51" s="29">
        <v>1.0</v>
      </c>
    </row>
    <row r="52">
      <c r="B52" s="39" t="s">
        <v>159</v>
      </c>
      <c r="C52" s="29">
        <v>73.23</v>
      </c>
      <c r="D52" s="29">
        <v>160.0</v>
      </c>
      <c r="E52" s="29">
        <v>2.0</v>
      </c>
      <c r="F52" s="29">
        <v>14.66</v>
      </c>
      <c r="G52" s="29">
        <v>1.58</v>
      </c>
      <c r="H52" s="29">
        <v>8.53</v>
      </c>
      <c r="I52" s="29">
        <v>6.7</v>
      </c>
      <c r="J52" s="29">
        <v>0.66</v>
      </c>
      <c r="K52" s="29">
        <v>12.0</v>
      </c>
      <c r="L52" s="29">
        <v>0.55</v>
      </c>
      <c r="M52" s="29">
        <v>29.0</v>
      </c>
      <c r="N52" s="29">
        <v>52.0</v>
      </c>
      <c r="O52" s="29">
        <v>485.0</v>
      </c>
      <c r="P52" s="29">
        <v>7.0</v>
      </c>
    </row>
    <row r="53">
      <c r="B53" s="39" t="s">
        <v>160</v>
      </c>
      <c r="C53" s="29">
        <v>77.93</v>
      </c>
      <c r="D53" s="29">
        <v>83.0</v>
      </c>
      <c r="E53" s="29">
        <v>1.67</v>
      </c>
      <c r="F53" s="29">
        <v>1.17</v>
      </c>
      <c r="G53" s="29">
        <v>0.53</v>
      </c>
      <c r="H53" s="29">
        <v>18.7</v>
      </c>
      <c r="I53" s="29">
        <v>4.0</v>
      </c>
      <c r="J53" s="29">
        <v>13.67</v>
      </c>
      <c r="K53" s="29">
        <v>10.0</v>
      </c>
      <c r="L53" s="29">
        <v>0.3</v>
      </c>
      <c r="M53" s="29">
        <v>12.0</v>
      </c>
      <c r="N53" s="29">
        <v>36.0</v>
      </c>
      <c r="O53" s="29">
        <v>236.0</v>
      </c>
      <c r="P53" s="29">
        <v>3.0</v>
      </c>
    </row>
    <row r="54">
      <c r="B54" s="38" t="s">
        <v>161</v>
      </c>
      <c r="C54" s="29">
        <v>80.8</v>
      </c>
      <c r="D54" s="29">
        <v>68.0</v>
      </c>
      <c r="E54" s="29">
        <v>2.55</v>
      </c>
      <c r="F54" s="29">
        <v>0.95</v>
      </c>
      <c r="G54" s="29">
        <v>1.39</v>
      </c>
      <c r="H54" s="29">
        <v>14.32</v>
      </c>
      <c r="I54" s="29">
        <v>5.4</v>
      </c>
      <c r="J54" s="29">
        <v>8.92</v>
      </c>
      <c r="K54" s="29">
        <v>18.0</v>
      </c>
      <c r="L54" s="29">
        <v>0.26</v>
      </c>
      <c r="M54" s="29">
        <v>22.0</v>
      </c>
      <c r="N54" s="29">
        <v>40.0</v>
      </c>
      <c r="O54" s="29">
        <v>417.0</v>
      </c>
      <c r="P54" s="31">
        <v>2.0</v>
      </c>
    </row>
    <row r="55">
      <c r="B55" s="39" t="s">
        <v>162</v>
      </c>
      <c r="C55" s="29">
        <v>88.06</v>
      </c>
      <c r="D55" s="29">
        <v>43.0</v>
      </c>
      <c r="E55" s="29">
        <v>0.47</v>
      </c>
      <c r="F55" s="29">
        <v>0.26</v>
      </c>
      <c r="G55" s="29">
        <v>0.39</v>
      </c>
      <c r="H55" s="29">
        <v>10.82</v>
      </c>
      <c r="I55" s="29">
        <v>1.7</v>
      </c>
      <c r="J55" s="29">
        <v>7.82</v>
      </c>
      <c r="K55" s="29">
        <v>20.0</v>
      </c>
      <c r="L55" s="29">
        <v>0.25</v>
      </c>
      <c r="M55" s="29">
        <v>21.0</v>
      </c>
      <c r="N55" s="29">
        <v>10.0</v>
      </c>
      <c r="O55" s="29">
        <v>182.0</v>
      </c>
      <c r="P55" s="29">
        <v>8.0</v>
      </c>
    </row>
    <row r="56">
      <c r="B56" s="39" t="s">
        <v>163</v>
      </c>
      <c r="C56" s="29">
        <v>83.96</v>
      </c>
      <c r="D56" s="29">
        <v>57.0</v>
      </c>
      <c r="E56" s="29">
        <v>0.36</v>
      </c>
      <c r="F56" s="29">
        <v>0.14</v>
      </c>
      <c r="G56" s="29">
        <v>0.32</v>
      </c>
      <c r="H56" s="29">
        <v>15.23</v>
      </c>
      <c r="I56" s="29">
        <v>3.1</v>
      </c>
      <c r="J56" s="29">
        <v>9.75</v>
      </c>
      <c r="K56" s="29">
        <v>9.0</v>
      </c>
      <c r="L56" s="29">
        <v>0.18</v>
      </c>
      <c r="M56" s="29">
        <v>7.0</v>
      </c>
      <c r="N56" s="29">
        <v>12.0</v>
      </c>
      <c r="O56" s="29">
        <v>116.0</v>
      </c>
      <c r="P56" s="29">
        <v>1.0</v>
      </c>
    </row>
    <row r="57">
      <c r="B57" s="38" t="s">
        <v>164</v>
      </c>
      <c r="C57" s="29">
        <v>74.91</v>
      </c>
      <c r="D57" s="29">
        <v>89.0</v>
      </c>
      <c r="E57" s="29">
        <v>1.09</v>
      </c>
      <c r="F57" s="29">
        <v>0.33</v>
      </c>
      <c r="G57" s="29">
        <v>0.82</v>
      </c>
      <c r="H57" s="29">
        <v>22.84</v>
      </c>
      <c r="I57" s="29">
        <v>2.6</v>
      </c>
      <c r="J57" s="29">
        <v>12.23</v>
      </c>
      <c r="K57" s="29">
        <v>5.0</v>
      </c>
      <c r="L57" s="29">
        <v>0.26</v>
      </c>
      <c r="M57" s="29">
        <v>27.0</v>
      </c>
      <c r="N57" s="29">
        <v>22.0</v>
      </c>
      <c r="O57" s="29">
        <v>358.0</v>
      </c>
      <c r="P57" s="29">
        <v>1.0</v>
      </c>
    </row>
    <row r="58">
      <c r="B58" s="39" t="s">
        <v>165</v>
      </c>
      <c r="C58" s="29">
        <v>76.78</v>
      </c>
      <c r="D58" s="29">
        <v>86.0</v>
      </c>
      <c r="E58" s="29">
        <v>0.41</v>
      </c>
      <c r="F58" s="29">
        <v>0.1</v>
      </c>
      <c r="G58" s="29">
        <v>0.35</v>
      </c>
      <c r="H58" s="29">
        <v>22.36</v>
      </c>
      <c r="I58" s="29">
        <v>1.3</v>
      </c>
      <c r="J58" s="44" t="s">
        <v>109</v>
      </c>
      <c r="K58" s="29">
        <v>13.0</v>
      </c>
      <c r="L58" s="29">
        <v>0.52</v>
      </c>
      <c r="M58" s="29">
        <v>13.0</v>
      </c>
      <c r="N58" s="29">
        <v>7.0</v>
      </c>
      <c r="O58" s="29">
        <v>131.0</v>
      </c>
      <c r="P58" s="29">
        <v>2.0</v>
      </c>
    </row>
    <row r="59">
      <c r="B59" s="39" t="s">
        <v>166</v>
      </c>
      <c r="C59" s="29">
        <v>88.94</v>
      </c>
      <c r="D59" s="29">
        <v>34.0</v>
      </c>
      <c r="E59" s="29">
        <v>4.01</v>
      </c>
      <c r="F59" s="29">
        <v>0.87</v>
      </c>
      <c r="G59" s="29">
        <v>1.39</v>
      </c>
      <c r="H59" s="29">
        <v>4.8</v>
      </c>
      <c r="I59" s="29">
        <v>3.7</v>
      </c>
      <c r="J59" s="29">
        <v>0.51</v>
      </c>
      <c r="K59" s="29">
        <v>153.0</v>
      </c>
      <c r="L59" s="29">
        <v>1.96</v>
      </c>
      <c r="M59" s="29">
        <v>82.0</v>
      </c>
      <c r="N59" s="29">
        <v>50.0</v>
      </c>
      <c r="O59" s="29">
        <v>302.0</v>
      </c>
      <c r="P59" s="29">
        <v>322.0</v>
      </c>
    </row>
    <row r="60">
      <c r="B60" s="39" t="s">
        <v>167</v>
      </c>
      <c r="C60" s="29">
        <v>88.94</v>
      </c>
      <c r="D60" s="29">
        <v>34.0</v>
      </c>
      <c r="E60" s="29">
        <v>4.01</v>
      </c>
      <c r="F60" s="29">
        <v>0.87</v>
      </c>
      <c r="G60" s="29">
        <v>1.39</v>
      </c>
      <c r="H60" s="29">
        <v>4.8</v>
      </c>
      <c r="I60" s="29">
        <v>3.7</v>
      </c>
      <c r="J60" s="29">
        <v>0.51</v>
      </c>
      <c r="K60" s="29">
        <v>153.0</v>
      </c>
      <c r="L60" s="29">
        <v>1.96</v>
      </c>
      <c r="M60" s="29">
        <v>82.0</v>
      </c>
      <c r="N60" s="29">
        <v>50.0</v>
      </c>
      <c r="O60" s="29">
        <v>302.0</v>
      </c>
    </row>
  </sheetData>
  <hyperlinks>
    <hyperlink r:id="rId1" location="Tabel%20TKPI" ref="B5"/>
    <hyperlink r:id="rId2" location="Tabel%20TKPI" ref="C5"/>
    <hyperlink r:id="rId3" location="Tabel%20TKPI" ref="D5"/>
    <hyperlink r:id="rId4" location="Tabel%20TKPI" ref="E5"/>
    <hyperlink r:id="rId5" location="Tabel%20TKPI" ref="F5"/>
    <hyperlink r:id="rId6" location="Tabel%20TKPI" ref="G5"/>
    <hyperlink r:id="rId7" location="Tabel%20TKPI" ref="H5"/>
    <hyperlink r:id="rId8" location="Tabel%20TKPI" ref="I5"/>
    <hyperlink r:id="rId9" location="Tabel%20TKPI" ref="J5"/>
    <hyperlink r:id="rId10" location="Tabel%20TKPI" ref="K5"/>
    <hyperlink r:id="rId11" location="Tabel%20TKPI" ref="L5"/>
    <hyperlink r:id="rId12" location="Tabel%20TKPI" ref="M5"/>
    <hyperlink r:id="rId13" location="AndraFarm" ref="B7"/>
    <hyperlink r:id="rId14" location="AndraFarm" ref="B8"/>
    <hyperlink r:id="rId15" location="AndraFarm" ref="B9"/>
    <hyperlink r:id="rId16" location="AndraFarm" ref="B10"/>
    <hyperlink r:id="rId17" location="AndraFarm" ref="B11"/>
    <hyperlink r:id="rId18" location="AndraFarm" ref="B12"/>
    <hyperlink r:id="rId19" location="AndraFarm" ref="B13"/>
    <hyperlink r:id="rId20" location="AndraFarm" ref="B14"/>
    <hyperlink r:id="rId21" location="AndraFarm" ref="B15"/>
    <hyperlink r:id="rId22" location="AndraFarm" ref="B16"/>
    <hyperlink r:id="rId23" location="AndraFarm" ref="B17"/>
    <hyperlink r:id="rId24" location="AndraFarm" ref="B18"/>
    <hyperlink r:id="rId25" location="AndraFarm" ref="B19"/>
    <hyperlink r:id="rId26" location="AndraFarm" ref="B20"/>
    <hyperlink r:id="rId27" location="AndraFarm" ref="B21"/>
    <hyperlink r:id="rId28" location="AndraFarm" ref="B22"/>
    <hyperlink r:id="rId29" location="AndraFarm" ref="B23"/>
    <hyperlink r:id="rId30" location="AndraFarm" ref="B24"/>
    <hyperlink r:id="rId31" location="AndraFarm" ref="B25"/>
    <hyperlink r:id="rId32" location="AndraFarm" ref="B26"/>
    <hyperlink r:id="rId33" location="AndraFarm" ref="B27"/>
    <hyperlink r:id="rId34" location="AndraFarm" ref="B28"/>
    <hyperlink r:id="rId35" location="AndraFarm" ref="B29"/>
    <hyperlink r:id="rId36" location="AndraFarm" ref="B30"/>
    <hyperlink r:id="rId37" location="AndraFarm" ref="B31"/>
    <hyperlink r:id="rId38" location="AndraFarm" ref="B32"/>
    <hyperlink r:id="rId39" location="AndraFarm" ref="B33"/>
    <hyperlink r:id="rId40" location="AndraFarm" ref="B34"/>
    <hyperlink r:id="rId41" location="AndraFarm" ref="B35"/>
    <hyperlink r:id="rId42" location="AndraFarm" ref="B36"/>
    <hyperlink r:id="rId43" location="AndraFarm" ref="B37"/>
    <hyperlink r:id="rId44" location="AndraFarm" ref="B38"/>
    <hyperlink r:id="rId45" location="AndraFarm" ref="B39"/>
    <hyperlink r:id="rId46" location="AndraFarm" ref="B40"/>
    <hyperlink r:id="rId47" location="AndraFarm" ref="B41"/>
    <hyperlink r:id="rId48" location="AndraFarm" ref="B42"/>
    <hyperlink r:id="rId49" location="AndraFarm" ref="B43"/>
    <hyperlink r:id="rId50" location="AndraFarm" ref="B44"/>
    <hyperlink r:id="rId51" location="Tabel%20USDA" ref="C46"/>
    <hyperlink r:id="rId52" location="Tabel%20USDA" ref="D46"/>
    <hyperlink r:id="rId53" location="Tabel%20USDA" ref="E46"/>
    <hyperlink r:id="rId54" location="Tabel%20USDA" ref="F46"/>
    <hyperlink r:id="rId55" location="Tabel%20USDA" ref="G46"/>
    <hyperlink r:id="rId56" location="Tabel%20USDA" ref="H46"/>
    <hyperlink r:id="rId57" location="Tabel%20USDA" ref="I46"/>
    <hyperlink r:id="rId58" location="Tabel%20USDA" ref="J46"/>
    <hyperlink r:id="rId59" location="Tabel%20USDA" ref="K46"/>
    <hyperlink r:id="rId60" location="Tabel%20USDA" ref="L46"/>
    <hyperlink r:id="rId61" location="Tabel%20USDA" ref="M46"/>
    <hyperlink r:id="rId62" location="Tabel%20USDA" ref="N46"/>
    <hyperlink r:id="rId63" location="Tabel%20USDA" ref="O46"/>
    <hyperlink r:id="rId64" location="Tabel%20USDA" ref="P46"/>
    <hyperlink r:id="rId65" location="AndraFarm" ref="B47"/>
    <hyperlink r:id="rId66" location="AndraFarm" ref="B48"/>
    <hyperlink r:id="rId67" location="AndraFarm" ref="B49"/>
    <hyperlink r:id="rId68" location="AndraFarm" ref="B50"/>
    <hyperlink r:id="rId69" location="AndraFarm" ref="B51"/>
    <hyperlink r:id="rId70" location="AndraFarm" ref="B52"/>
    <hyperlink r:id="rId71" location="AndraFarm" ref="B53"/>
    <hyperlink r:id="rId72" location="AndraFarm" ref="B54"/>
    <hyperlink r:id="rId73" location="AndraFarm" ref="B55"/>
    <hyperlink r:id="rId74" location="AndraFarm" ref="B56"/>
    <hyperlink r:id="rId75" location="AndraFarm" ref="B57"/>
    <hyperlink r:id="rId76" location="AndraFarm" ref="B58"/>
    <hyperlink r:id="rId77" location="AndraFarm" ref="B59"/>
    <hyperlink r:id="rId78" location="AndraFarm" ref="B60"/>
  </hyperlinks>
  <drawing r:id="rId7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1" max="31" width="20.38"/>
  </cols>
  <sheetData>
    <row r="2">
      <c r="B2" s="49" t="s">
        <v>168</v>
      </c>
      <c r="I2" s="49" t="s">
        <v>169</v>
      </c>
      <c r="P2" s="50" t="s">
        <v>170</v>
      </c>
      <c r="V2" s="50"/>
      <c r="W2" s="49" t="s">
        <v>171</v>
      </c>
      <c r="Z2" s="49"/>
      <c r="AA2" s="50" t="s">
        <v>172</v>
      </c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</row>
    <row r="3">
      <c r="V3" s="50"/>
      <c r="Z3" s="49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</row>
    <row r="4">
      <c r="B4" s="51" t="s">
        <v>173</v>
      </c>
      <c r="C4" s="52" t="s">
        <v>2</v>
      </c>
      <c r="D4" s="53" t="s">
        <v>1</v>
      </c>
      <c r="E4" s="52" t="s">
        <v>0</v>
      </c>
      <c r="F4" s="52" t="s">
        <v>3</v>
      </c>
      <c r="G4" s="53" t="s">
        <v>4</v>
      </c>
      <c r="I4" s="51" t="s">
        <v>174</v>
      </c>
      <c r="J4" s="52" t="s">
        <v>2</v>
      </c>
      <c r="K4" s="53" t="s">
        <v>1</v>
      </c>
      <c r="L4" s="52" t="s">
        <v>0</v>
      </c>
      <c r="M4" s="52" t="s">
        <v>3</v>
      </c>
      <c r="N4" s="53" t="s">
        <v>4</v>
      </c>
      <c r="P4" s="54" t="s">
        <v>175</v>
      </c>
      <c r="Q4" s="55" t="s">
        <v>176</v>
      </c>
      <c r="R4" s="56" t="s">
        <v>177</v>
      </c>
      <c r="S4" s="55" t="s">
        <v>178</v>
      </c>
      <c r="T4" s="55" t="s">
        <v>179</v>
      </c>
      <c r="U4" s="56" t="s">
        <v>180</v>
      </c>
      <c r="V4" s="57"/>
      <c r="W4" s="51" t="s">
        <v>181</v>
      </c>
      <c r="X4" s="58" t="s">
        <v>182</v>
      </c>
      <c r="Y4" s="59" t="s">
        <v>183</v>
      </c>
      <c r="Z4" s="60"/>
      <c r="AA4" s="54" t="s">
        <v>184</v>
      </c>
      <c r="AB4" s="61" t="s">
        <v>185</v>
      </c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</row>
    <row r="5">
      <c r="B5" s="36"/>
      <c r="C5" s="17" t="s">
        <v>38</v>
      </c>
      <c r="D5" s="17" t="s">
        <v>38</v>
      </c>
      <c r="E5" s="17" t="s">
        <v>38</v>
      </c>
      <c r="F5" s="17" t="s">
        <v>38</v>
      </c>
      <c r="G5" s="17" t="s">
        <v>39</v>
      </c>
      <c r="I5" s="36"/>
      <c r="J5" s="17" t="s">
        <v>38</v>
      </c>
      <c r="K5" s="17" t="s">
        <v>38</v>
      </c>
      <c r="L5" s="17" t="s">
        <v>38</v>
      </c>
      <c r="M5" s="17" t="s">
        <v>38</v>
      </c>
      <c r="N5" s="17" t="s">
        <v>39</v>
      </c>
      <c r="P5" s="62"/>
      <c r="Q5" s="63" t="s">
        <v>38</v>
      </c>
      <c r="R5" s="63" t="s">
        <v>38</v>
      </c>
      <c r="S5" s="63" t="s">
        <v>38</v>
      </c>
      <c r="T5" s="64" t="s">
        <v>38</v>
      </c>
      <c r="U5" s="63" t="s">
        <v>39</v>
      </c>
      <c r="V5" s="65"/>
      <c r="X5" s="66"/>
      <c r="Y5" s="67"/>
      <c r="Z5" s="68"/>
      <c r="AA5" s="62"/>
      <c r="AB5" s="69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</row>
    <row r="6">
      <c r="B6" s="37" t="s">
        <v>186</v>
      </c>
      <c r="C6" s="29">
        <f>IFS('data raw'!E7&lt;=1, 1, 'data raw'!E7&lt;=25, 2, 'data raw'!E7&lt;=50, 3, 'data raw'!E7&lt;=75, 4, TRUE, 5)</f>
        <v>2</v>
      </c>
      <c r="D6" s="29">
        <f>IFS('data raw'!F7&lt;=1, 1, 'data raw'!F7&lt;=25, 2, 'data raw'!F7&lt;=50, 3, 'data raw'!F7&lt;=75, 4, TRUE, 5)</f>
        <v>1</v>
      </c>
      <c r="E6" s="29">
        <f>IFS('data raw'!G7&lt;=1, 1, 'data raw'!G7&lt;=25, 2, 'data raw'!G7&lt;=50, 3, 'data raw'!G7&lt;=75, 4, TRUE, 5)</f>
        <v>3</v>
      </c>
      <c r="F6" s="29">
        <f>IFS('data raw'!H7&lt;=1, 1, 'data raw'!H7&lt;=3, 2, 'data raw'!H7&lt;=5, 3, 'data raw'!H7&lt;=7, 4, TRUE, 5)</f>
        <v>1</v>
      </c>
      <c r="G6" s="29">
        <f>IFS('data raw'!M7&lt;=100, 5, 'data raw'!M7&lt;=200, 4, 'data raw'!M7&lt;=350, 3, 'data raw'!M7&lt;=500, 2, TRUE, 1)</f>
        <v>5</v>
      </c>
      <c r="I6" s="37" t="s">
        <v>187</v>
      </c>
      <c r="J6" s="29">
        <f t="shared" ref="J6:J29" si="1">C6/$C$32</f>
        <v>0.2156655464</v>
      </c>
      <c r="K6" s="29">
        <f t="shared" ref="K6:K29" si="2">D6/$D$32</f>
        <v>0.130188911</v>
      </c>
      <c r="L6" s="29">
        <f t="shared" ref="L6:L29" si="3">E6/$E$32</f>
        <v>0.1901172752</v>
      </c>
      <c r="M6" s="29">
        <f t="shared" ref="M6:M29" si="4">F6/$F$32</f>
        <v>0.06900655593</v>
      </c>
      <c r="N6" s="29">
        <f t="shared" ref="N6:N29" si="5">G6/$G$32</f>
        <v>0.2383656473</v>
      </c>
      <c r="P6" s="70" t="s">
        <v>188</v>
      </c>
      <c r="Q6" s="71">
        <f t="shared" ref="Q6:Q29" si="6">J6*0.2</f>
        <v>0.04313310928</v>
      </c>
      <c r="R6" s="71">
        <f t="shared" ref="R6:R29" si="7">K6*0.15</f>
        <v>0.01952833665</v>
      </c>
      <c r="S6" s="71">
        <f t="shared" ref="S6:S29" si="8">L6*0.1</f>
        <v>0.01901172752</v>
      </c>
      <c r="T6" s="71">
        <f t="shared" ref="T6:T29" si="9">M6*0.25</f>
        <v>0.01725163898</v>
      </c>
      <c r="U6" s="71">
        <f t="shared" ref="U6:U29" si="10">N6*0.3</f>
        <v>0.07150969419</v>
      </c>
      <c r="V6" s="72"/>
      <c r="W6" s="37" t="s">
        <v>189</v>
      </c>
      <c r="X6" s="29">
        <f t="shared" ref="X6:X29" si="11">SQRT(SUMPRODUCT((Q6:U6 - Q$31:U$31)^2))</f>
        <v>0.07842066815</v>
      </c>
      <c r="Y6" s="73">
        <f t="shared" ref="Y6:Y29" si="12">SQRT(SUMPRODUCT((Q6:U6 - Q$32:U$32)^2))</f>
        <v>0.04506329605</v>
      </c>
      <c r="Z6" s="68"/>
      <c r="AA6" s="70" t="s">
        <v>190</v>
      </c>
      <c r="AB6" s="74">
        <f t="shared" ref="AB6:AB29" si="13">Y6 / (X6 + Y6)</f>
        <v>0.3649323727</v>
      </c>
      <c r="AC6" s="65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</row>
    <row r="7">
      <c r="B7" s="38" t="s">
        <v>191</v>
      </c>
      <c r="C7" s="29">
        <f>IFS('data raw'!E8&lt;=1, 1, 'data raw'!E8&lt;=25, 2, 'data raw'!E8&lt;=50, 3, 'data raw'!E8&lt;=75, 4, TRUE, 5)</f>
        <v>2</v>
      </c>
      <c r="D7" s="29">
        <f>IFS('data raw'!F8&lt;=1, 1, 'data raw'!F8&lt;=25, 2, 'data raw'!F8&lt;=50, 3, 'data raw'!F8&lt;=75, 4, TRUE, 5)</f>
        <v>2</v>
      </c>
      <c r="E7" s="29">
        <f>IFS('data raw'!G8&lt;=1, 1, 'data raw'!G8&lt;=25, 2, 'data raw'!G8&lt;=50, 3, 'data raw'!G8&lt;=75, 4, TRUE, 5)</f>
        <v>5</v>
      </c>
      <c r="F7" s="29">
        <f>IFS('data raw'!H8&lt;=1, 1, 'data raw'!H8&lt;=3, 2, 'data raw'!H8&lt;=5, 3, 'data raw'!H8&lt;=7, 4, TRUE, 5)</f>
        <v>2</v>
      </c>
      <c r="G7" s="29">
        <f>IFS('data raw'!M8&lt;=100, 5, 'data raw'!M8&lt;=200, 4, 'data raw'!M8&lt;=350, 3, 'data raw'!M8&lt;=500, 2, TRUE, 1)</f>
        <v>3</v>
      </c>
      <c r="I7" s="38" t="s">
        <v>192</v>
      </c>
      <c r="J7" s="29">
        <f t="shared" si="1"/>
        <v>0.2156655464</v>
      </c>
      <c r="K7" s="29">
        <f t="shared" si="2"/>
        <v>0.260377822</v>
      </c>
      <c r="L7" s="29">
        <f t="shared" si="3"/>
        <v>0.3168621253</v>
      </c>
      <c r="M7" s="29">
        <f t="shared" si="4"/>
        <v>0.1380131119</v>
      </c>
      <c r="N7" s="29">
        <f t="shared" si="5"/>
        <v>0.1430193884</v>
      </c>
      <c r="P7" s="75" t="s">
        <v>193</v>
      </c>
      <c r="Q7" s="71">
        <f t="shared" si="6"/>
        <v>0.04313310928</v>
      </c>
      <c r="R7" s="71">
        <f t="shared" si="7"/>
        <v>0.03905667329</v>
      </c>
      <c r="S7" s="71">
        <f t="shared" si="8"/>
        <v>0.03168621253</v>
      </c>
      <c r="T7" s="71">
        <f t="shared" si="9"/>
        <v>0.03450327797</v>
      </c>
      <c r="U7" s="71">
        <f t="shared" si="10"/>
        <v>0.04290581652</v>
      </c>
      <c r="V7" s="72"/>
      <c r="W7" s="38" t="s">
        <v>194</v>
      </c>
      <c r="X7" s="29">
        <f t="shared" si="11"/>
        <v>0.05075899678</v>
      </c>
      <c r="Y7" s="73">
        <f t="shared" si="12"/>
        <v>0.04820496717</v>
      </c>
      <c r="Z7" s="68"/>
      <c r="AA7" s="75" t="s">
        <v>195</v>
      </c>
      <c r="AB7" s="74">
        <f t="shared" si="13"/>
        <v>0.4870961636</v>
      </c>
      <c r="AC7" s="65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</row>
    <row r="8">
      <c r="B8" s="39" t="s">
        <v>196</v>
      </c>
      <c r="C8" s="29">
        <f>IFS('data raw'!E9&lt;=1, 1, 'data raw'!E9&lt;=25, 2, 'data raw'!E9&lt;=50, 3, 'data raw'!E9&lt;=75, 4, TRUE, 5)</f>
        <v>2</v>
      </c>
      <c r="D8" s="29">
        <f>IFS('data raw'!F9&lt;=1, 1, 'data raw'!F9&lt;=25, 2, 'data raw'!F9&lt;=50, 3, 'data raw'!F9&lt;=75, 4, TRUE, 5)</f>
        <v>1</v>
      </c>
      <c r="E8" s="29">
        <f>IFS('data raw'!G9&lt;=1, 1, 'data raw'!G9&lt;=25, 2, 'data raw'!G9&lt;=50, 3, 'data raw'!G9&lt;=75, 4, TRUE, 5)</f>
        <v>2</v>
      </c>
      <c r="F8" s="29">
        <f>IFS('data raw'!H9&lt;=1, 1, 'data raw'!H9&lt;=3, 2, 'data raw'!H9&lt;=5, 3, 'data raw'!H9&lt;=7, 4, TRUE, 5)</f>
        <v>5</v>
      </c>
      <c r="G8" s="29">
        <f>IFS('data raw'!M9&lt;=100, 5, 'data raw'!M9&lt;=200, 4, 'data raw'!M9&lt;=350, 3, 'data raw'!M9&lt;=500, 2, TRUE, 1)</f>
        <v>2</v>
      </c>
      <c r="I8" s="39" t="s">
        <v>197</v>
      </c>
      <c r="J8" s="29">
        <f t="shared" si="1"/>
        <v>0.2156655464</v>
      </c>
      <c r="K8" s="29">
        <f t="shared" si="2"/>
        <v>0.130188911</v>
      </c>
      <c r="L8" s="29">
        <f t="shared" si="3"/>
        <v>0.1267448501</v>
      </c>
      <c r="M8" s="29">
        <f t="shared" si="4"/>
        <v>0.3450327797</v>
      </c>
      <c r="N8" s="29">
        <f t="shared" si="5"/>
        <v>0.09534625892</v>
      </c>
      <c r="P8" s="76" t="s">
        <v>198</v>
      </c>
      <c r="Q8" s="71">
        <f t="shared" si="6"/>
        <v>0.04313310928</v>
      </c>
      <c r="R8" s="71">
        <f t="shared" si="7"/>
        <v>0.01952833665</v>
      </c>
      <c r="S8" s="71">
        <f t="shared" si="8"/>
        <v>0.01267448501</v>
      </c>
      <c r="T8" s="71">
        <f t="shared" si="9"/>
        <v>0.08625819492</v>
      </c>
      <c r="U8" s="71">
        <f t="shared" si="10"/>
        <v>0.02860387768</v>
      </c>
      <c r="V8" s="72"/>
      <c r="W8" s="39" t="s">
        <v>199</v>
      </c>
      <c r="X8" s="29">
        <f t="shared" si="11"/>
        <v>0.03867657916</v>
      </c>
      <c r="Y8" s="73">
        <f t="shared" si="12"/>
        <v>0.09270034445</v>
      </c>
      <c r="Z8" s="68"/>
      <c r="AA8" s="76" t="s">
        <v>200</v>
      </c>
      <c r="AB8" s="74">
        <f t="shared" si="13"/>
        <v>0.7056059915</v>
      </c>
      <c r="AC8" s="65"/>
      <c r="AD8" s="72"/>
      <c r="AE8" s="61" t="s">
        <v>201</v>
      </c>
      <c r="AF8" s="77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</row>
    <row r="9">
      <c r="B9" s="38" t="s">
        <v>202</v>
      </c>
      <c r="C9" s="29">
        <f>IFS('data raw'!E10&lt;=1, 1, 'data raw'!E10&lt;=25, 2, 'data raw'!E10&lt;=50, 3, 'data raw'!E10&lt;=75, 4, TRUE, 5)</f>
        <v>2</v>
      </c>
      <c r="D9" s="29">
        <f>IFS('data raw'!F10&lt;=1, 1, 'data raw'!F10&lt;=25, 2, 'data raw'!F10&lt;=50, 3, 'data raw'!F10&lt;=75, 4, TRUE, 5)</f>
        <v>2</v>
      </c>
      <c r="E9" s="29">
        <f>IFS('data raw'!G10&lt;=1, 1, 'data raw'!G10&lt;=25, 2, 'data raw'!G10&lt;=50, 3, 'data raw'!G10&lt;=75, 4, TRUE, 5)</f>
        <v>2</v>
      </c>
      <c r="F9" s="29">
        <f>IFS('data raw'!H10&lt;=1, 1, 'data raw'!H10&lt;=3, 2, 'data raw'!H10&lt;=5, 3, 'data raw'!H10&lt;=7, 4, TRUE, 5)</f>
        <v>1</v>
      </c>
      <c r="G9" s="29">
        <f>IFS('data raw'!M10&lt;=100, 5, 'data raw'!M10&lt;=200, 4, 'data raw'!M10&lt;=350, 3, 'data raw'!M10&lt;=500, 2, TRUE, 1)</f>
        <v>1</v>
      </c>
      <c r="I9" s="38" t="s">
        <v>203</v>
      </c>
      <c r="J9" s="29">
        <f t="shared" si="1"/>
        <v>0.2156655464</v>
      </c>
      <c r="K9" s="29">
        <f t="shared" si="2"/>
        <v>0.260377822</v>
      </c>
      <c r="L9" s="29">
        <f t="shared" si="3"/>
        <v>0.1267448501</v>
      </c>
      <c r="M9" s="29">
        <f t="shared" si="4"/>
        <v>0.06900655593</v>
      </c>
      <c r="N9" s="29">
        <f t="shared" si="5"/>
        <v>0.04767312946</v>
      </c>
      <c r="P9" s="75" t="s">
        <v>204</v>
      </c>
      <c r="Q9" s="71">
        <f t="shared" si="6"/>
        <v>0.04313310928</v>
      </c>
      <c r="R9" s="71">
        <f t="shared" si="7"/>
        <v>0.03905667329</v>
      </c>
      <c r="S9" s="71">
        <f t="shared" si="8"/>
        <v>0.01267448501</v>
      </c>
      <c r="T9" s="71">
        <f t="shared" si="9"/>
        <v>0.01725163898</v>
      </c>
      <c r="U9" s="71">
        <f t="shared" si="10"/>
        <v>0.01430193884</v>
      </c>
      <c r="V9" s="72"/>
      <c r="W9" s="38" t="s">
        <v>205</v>
      </c>
      <c r="X9" s="29">
        <f t="shared" si="11"/>
        <v>0.05881524517</v>
      </c>
      <c r="Y9" s="73">
        <f t="shared" si="12"/>
        <v>0.06418099005</v>
      </c>
      <c r="Z9" s="68"/>
      <c r="AA9" s="75" t="s">
        <v>206</v>
      </c>
      <c r="AB9" s="74">
        <f t="shared" si="13"/>
        <v>0.5218126387</v>
      </c>
      <c r="AC9" s="65"/>
      <c r="AD9" s="72"/>
      <c r="AE9" s="78" t="str">
        <f>IFERROR(__xludf.DUMMYFUNCTION("SORTN(AA6:AB29, 5, 0, AB6:AB29, FALSE)"),"Bubur tinotuan (Manado)")</f>
        <v>Bubur tinotuan (Manado)</v>
      </c>
      <c r="AF9" s="72">
        <f>IFERROR(__xludf.DUMMYFUNCTION("""COMPUTED_VALUE"""),0.7056059915452259)</f>
        <v>0.7056059915</v>
      </c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</row>
    <row r="10">
      <c r="A10" s="22"/>
      <c r="B10" s="40" t="s">
        <v>207</v>
      </c>
      <c r="C10" s="29">
        <f>IFS('data raw'!E11&lt;=1, 1, 'data raw'!E11&lt;=25, 2, 'data raw'!E11&lt;=50, 3, 'data raw'!E11&lt;=75, 4, TRUE, 5)</f>
        <v>2</v>
      </c>
      <c r="D10" s="29">
        <f>IFS('data raw'!F11&lt;=1, 1, 'data raw'!F11&lt;=25, 2, 'data raw'!F11&lt;=50, 3, 'data raw'!F11&lt;=75, 4, TRUE, 5)</f>
        <v>2</v>
      </c>
      <c r="E10" s="29">
        <f>IFS('data raw'!G11&lt;=1, 1, 'data raw'!G11&lt;=25, 2, 'data raw'!G11&lt;=50, 3, 'data raw'!G11&lt;=75, 4, TRUE, 5)</f>
        <v>5</v>
      </c>
      <c r="F10" s="29">
        <f>IFS('data raw'!H11&lt;=1, 1, 'data raw'!H11&lt;=3, 2, 'data raw'!H11&lt;=5, 3, 'data raw'!H11&lt;=7, 4, TRUE, 5)</f>
        <v>1</v>
      </c>
      <c r="G10" s="29">
        <f>IFS('data raw'!M11&lt;=100, 5, 'data raw'!M11&lt;=200, 4, 'data raw'!M11&lt;=350, 3, 'data raw'!M11&lt;=500, 2, TRUE, 1)</f>
        <v>5</v>
      </c>
      <c r="H10" s="22"/>
      <c r="I10" s="40" t="s">
        <v>208</v>
      </c>
      <c r="J10" s="29">
        <f t="shared" si="1"/>
        <v>0.2156655464</v>
      </c>
      <c r="K10" s="29">
        <f t="shared" si="2"/>
        <v>0.260377822</v>
      </c>
      <c r="L10" s="29">
        <f t="shared" si="3"/>
        <v>0.3168621253</v>
      </c>
      <c r="M10" s="29">
        <f t="shared" si="4"/>
        <v>0.06900655593</v>
      </c>
      <c r="N10" s="29">
        <f t="shared" si="5"/>
        <v>0.2383656473</v>
      </c>
      <c r="O10" s="22"/>
      <c r="P10" s="79" t="s">
        <v>209</v>
      </c>
      <c r="Q10" s="71">
        <f t="shared" si="6"/>
        <v>0.04313310928</v>
      </c>
      <c r="R10" s="71">
        <f t="shared" si="7"/>
        <v>0.03905667329</v>
      </c>
      <c r="S10" s="71">
        <f t="shared" si="8"/>
        <v>0.03168621253</v>
      </c>
      <c r="T10" s="71">
        <f t="shared" si="9"/>
        <v>0.01725163898</v>
      </c>
      <c r="U10" s="71">
        <f t="shared" si="10"/>
        <v>0.07150969419</v>
      </c>
      <c r="V10" s="72"/>
      <c r="W10" s="40" t="s">
        <v>210</v>
      </c>
      <c r="X10" s="29">
        <f t="shared" si="11"/>
        <v>0.07981550322</v>
      </c>
      <c r="Y10" s="73">
        <f t="shared" si="12"/>
        <v>0.03475511465</v>
      </c>
      <c r="Z10" s="68"/>
      <c r="AA10" s="79" t="s">
        <v>211</v>
      </c>
      <c r="AB10" s="74">
        <f t="shared" si="13"/>
        <v>0.3033510275</v>
      </c>
      <c r="AC10" s="65"/>
      <c r="AD10" s="72"/>
      <c r="AE10" s="78" t="str">
        <f>IFERROR(__xludf.DUMMYFUNCTION("""COMPUTED_VALUE"""),"Keripik kentang")</f>
        <v>Keripik kentang</v>
      </c>
      <c r="AF10" s="72">
        <f>IFERROR(__xludf.DUMMYFUNCTION("""COMPUTED_VALUE"""),0.6949316453040398)</f>
        <v>0.6949316453</v>
      </c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</row>
    <row r="11">
      <c r="A11" s="22"/>
      <c r="B11" s="41" t="s">
        <v>212</v>
      </c>
      <c r="C11" s="29">
        <f>IFS('data raw'!E12&lt;=1, 1, 'data raw'!E12&lt;=25, 2, 'data raw'!E12&lt;=50, 3, 'data raw'!E12&lt;=75, 4, TRUE, 5)</f>
        <v>2</v>
      </c>
      <c r="D11" s="29">
        <f>IFS('data raw'!F12&lt;=1, 1, 'data raw'!F12&lt;=25, 2, 'data raw'!F12&lt;=50, 3, 'data raw'!F12&lt;=75, 4, TRUE, 5)</f>
        <v>1</v>
      </c>
      <c r="E11" s="29">
        <f>IFS('data raw'!G12&lt;=1, 1, 'data raw'!G12&lt;=25, 2, 'data raw'!G12&lt;=50, 3, 'data raw'!G12&lt;=75, 4, TRUE, 5)</f>
        <v>5</v>
      </c>
      <c r="F11" s="29">
        <f>IFS('data raw'!H12&lt;=1, 1, 'data raw'!H12&lt;=3, 2, 'data raw'!H12&lt;=5, 3, 'data raw'!H12&lt;=7, 4, TRUE, 5)</f>
        <v>5</v>
      </c>
      <c r="G11" s="29">
        <f>IFS('data raw'!M12&lt;=100, 5, 'data raw'!M12&lt;=200, 4, 'data raw'!M12&lt;=350, 3, 'data raw'!M12&lt;=500, 2, TRUE, 1)</f>
        <v>5</v>
      </c>
      <c r="H11" s="22"/>
      <c r="I11" s="41" t="s">
        <v>213</v>
      </c>
      <c r="J11" s="29">
        <f t="shared" si="1"/>
        <v>0.2156655464</v>
      </c>
      <c r="K11" s="29">
        <f t="shared" si="2"/>
        <v>0.130188911</v>
      </c>
      <c r="L11" s="29">
        <f t="shared" si="3"/>
        <v>0.3168621253</v>
      </c>
      <c r="M11" s="29">
        <f t="shared" si="4"/>
        <v>0.3450327797</v>
      </c>
      <c r="N11" s="29">
        <f t="shared" si="5"/>
        <v>0.2383656473</v>
      </c>
      <c r="O11" s="22"/>
      <c r="P11" s="80" t="s">
        <v>214</v>
      </c>
      <c r="Q11" s="71">
        <f t="shared" si="6"/>
        <v>0.04313310928</v>
      </c>
      <c r="R11" s="71">
        <f t="shared" si="7"/>
        <v>0.01952833665</v>
      </c>
      <c r="S11" s="71">
        <f t="shared" si="8"/>
        <v>0.03168621253</v>
      </c>
      <c r="T11" s="71">
        <f t="shared" si="9"/>
        <v>0.08625819492</v>
      </c>
      <c r="U11" s="71">
        <f t="shared" si="10"/>
        <v>0.07150969419</v>
      </c>
      <c r="V11" s="72"/>
      <c r="W11" s="41" t="s">
        <v>215</v>
      </c>
      <c r="X11" s="29">
        <f t="shared" si="11"/>
        <v>0.06482756983</v>
      </c>
      <c r="Y11" s="73">
        <f t="shared" si="12"/>
        <v>0.08434388272</v>
      </c>
      <c r="Z11" s="68"/>
      <c r="AA11" s="80" t="s">
        <v>216</v>
      </c>
      <c r="AB11" s="74">
        <f t="shared" si="13"/>
        <v>0.5654157098</v>
      </c>
      <c r="AC11" s="65"/>
      <c r="AD11" s="72"/>
      <c r="AE11" s="78" t="str">
        <f>IFERROR(__xludf.DUMMYFUNCTION("""COMPUTED_VALUE"""),"Kerupuk cumi goreng")</f>
        <v>Kerupuk cumi goreng</v>
      </c>
      <c r="AF11" s="72">
        <f>IFERROR(__xludf.DUMMYFUNCTION("""COMPUTED_VALUE"""),0.6949316453040398)</f>
        <v>0.6949316453</v>
      </c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</row>
    <row r="12">
      <c r="B12" s="39" t="s">
        <v>217</v>
      </c>
      <c r="C12" s="29">
        <f>IFS('data raw'!E13&lt;=1, 1, 'data raw'!E13&lt;=25, 2, 'data raw'!E13&lt;=50, 3, 'data raw'!E13&lt;=75, 4, TRUE, 5)</f>
        <v>2</v>
      </c>
      <c r="D12" s="29">
        <f>IFS('data raw'!F13&lt;=1, 1, 'data raw'!F13&lt;=25, 2, 'data raw'!F13&lt;=50, 3, 'data raw'!F13&lt;=75, 4, TRUE, 5)</f>
        <v>2</v>
      </c>
      <c r="E12" s="29">
        <f>IFS('data raw'!G13&lt;=1, 1, 'data raw'!G13&lt;=25, 2, 'data raw'!G13&lt;=50, 3, 'data raw'!G13&lt;=75, 4, TRUE, 5)</f>
        <v>2</v>
      </c>
      <c r="F12" s="29">
        <f>IFS('data raw'!H13&lt;=1, 1, 'data raw'!H13&lt;=3, 2, 'data raw'!H13&lt;=5, 3, 'data raw'!H13&lt;=7, 4, TRUE, 5)</f>
        <v>3</v>
      </c>
      <c r="G12" s="29">
        <f>IFS('data raw'!M13&lt;=100, 5, 'data raw'!M13&lt;=200, 4, 'data raw'!M13&lt;=350, 3, 'data raw'!M13&lt;=500, 2, TRUE, 1)</f>
        <v>5</v>
      </c>
      <c r="I12" s="39" t="s">
        <v>218</v>
      </c>
      <c r="J12" s="29">
        <f t="shared" si="1"/>
        <v>0.2156655464</v>
      </c>
      <c r="K12" s="29">
        <f t="shared" si="2"/>
        <v>0.260377822</v>
      </c>
      <c r="L12" s="29">
        <f t="shared" si="3"/>
        <v>0.1267448501</v>
      </c>
      <c r="M12" s="29">
        <f t="shared" si="4"/>
        <v>0.2070196678</v>
      </c>
      <c r="N12" s="29">
        <f t="shared" si="5"/>
        <v>0.2383656473</v>
      </c>
      <c r="P12" s="76" t="s">
        <v>219</v>
      </c>
      <c r="Q12" s="71">
        <f t="shared" si="6"/>
        <v>0.04313310928</v>
      </c>
      <c r="R12" s="71">
        <f t="shared" si="7"/>
        <v>0.03905667329</v>
      </c>
      <c r="S12" s="71">
        <f t="shared" si="8"/>
        <v>0.01267448501</v>
      </c>
      <c r="T12" s="71">
        <f t="shared" si="9"/>
        <v>0.05175491695</v>
      </c>
      <c r="U12" s="71">
        <f t="shared" si="10"/>
        <v>0.07150969419</v>
      </c>
      <c r="V12" s="72"/>
      <c r="W12" s="39" t="s">
        <v>220</v>
      </c>
      <c r="X12" s="29">
        <f t="shared" si="11"/>
        <v>0.06817779507</v>
      </c>
      <c r="Y12" s="73">
        <f t="shared" si="12"/>
        <v>0.04513256476</v>
      </c>
      <c r="Z12" s="68"/>
      <c r="AA12" s="76" t="s">
        <v>221</v>
      </c>
      <c r="AB12" s="74">
        <f t="shared" si="13"/>
        <v>0.3983092528</v>
      </c>
      <c r="AC12" s="65"/>
      <c r="AD12" s="72"/>
      <c r="AE12" s="78" t="str">
        <f>IFERROR(__xludf.DUMMYFUNCTION("""COMPUTED_VALUE"""),"Kerupuk udang goreng")</f>
        <v>Kerupuk udang goreng</v>
      </c>
      <c r="AF12" s="72">
        <f>IFERROR(__xludf.DUMMYFUNCTION("""COMPUTED_VALUE"""),0.6417296328989266)</f>
        <v>0.6417296329</v>
      </c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</row>
    <row r="13">
      <c r="B13" s="39" t="s">
        <v>222</v>
      </c>
      <c r="C13" s="29">
        <f>IFS('data raw'!E14&lt;=1, 1, 'data raw'!E14&lt;=25, 2, 'data raw'!E14&lt;=50, 3, 'data raw'!E14&lt;=75, 4, TRUE, 5)</f>
        <v>2</v>
      </c>
      <c r="D13" s="29">
        <f>IFS('data raw'!F14&lt;=1, 1, 'data raw'!F14&lt;=25, 2, 'data raw'!F14&lt;=50, 3, 'data raw'!F14&lt;=75, 4, TRUE, 5)</f>
        <v>1</v>
      </c>
      <c r="E13" s="29">
        <f>IFS('data raw'!G14&lt;=1, 1, 'data raw'!G14&lt;=25, 2, 'data raw'!G14&lt;=50, 3, 'data raw'!G14&lt;=75, 4, TRUE, 5)</f>
        <v>2</v>
      </c>
      <c r="F13" s="29">
        <f>IFS('data raw'!H14&lt;=1, 1, 'data raw'!H14&lt;=3, 2, 'data raw'!H14&lt;=5, 3, 'data raw'!H14&lt;=7, 4, TRUE, 5)</f>
        <v>3</v>
      </c>
      <c r="G13" s="29">
        <f>IFS('data raw'!M14&lt;=100, 5, 'data raw'!M14&lt;=200, 4, 'data raw'!M14&lt;=350, 3, 'data raw'!M14&lt;=500, 2, TRUE, 1)</f>
        <v>5</v>
      </c>
      <c r="I13" s="39" t="s">
        <v>223</v>
      </c>
      <c r="J13" s="29">
        <f t="shared" si="1"/>
        <v>0.2156655464</v>
      </c>
      <c r="K13" s="29">
        <f t="shared" si="2"/>
        <v>0.130188911</v>
      </c>
      <c r="L13" s="29">
        <f t="shared" si="3"/>
        <v>0.1267448501</v>
      </c>
      <c r="M13" s="29">
        <f t="shared" si="4"/>
        <v>0.2070196678</v>
      </c>
      <c r="N13" s="29">
        <f t="shared" si="5"/>
        <v>0.2383656473</v>
      </c>
      <c r="P13" s="76" t="s">
        <v>224</v>
      </c>
      <c r="Q13" s="71">
        <f t="shared" si="6"/>
        <v>0.04313310928</v>
      </c>
      <c r="R13" s="71">
        <f t="shared" si="7"/>
        <v>0.01952833665</v>
      </c>
      <c r="S13" s="71">
        <f t="shared" si="8"/>
        <v>0.01267448501</v>
      </c>
      <c r="T13" s="71">
        <f t="shared" si="9"/>
        <v>0.05175491695</v>
      </c>
      <c r="U13" s="71">
        <f t="shared" si="10"/>
        <v>0.07150969419</v>
      </c>
      <c r="V13" s="72"/>
      <c r="W13" s="39" t="s">
        <v>225</v>
      </c>
      <c r="X13" s="29">
        <f t="shared" si="11"/>
        <v>0.06532117428</v>
      </c>
      <c r="Y13" s="73">
        <f t="shared" si="12"/>
        <v>0.05640049821</v>
      </c>
      <c r="Z13" s="68"/>
      <c r="AA13" s="76" t="s">
        <v>226</v>
      </c>
      <c r="AB13" s="74">
        <f t="shared" si="13"/>
        <v>0.4633562541</v>
      </c>
      <c r="AC13" s="65"/>
      <c r="AD13" s="72"/>
      <c r="AE13" s="78" t="str">
        <f>IFERROR(__xludf.DUMMYFUNCTION("""COMPUTED_VALUE"""),"Kacang hijau, rebus")</f>
        <v>Kacang hijau, rebus</v>
      </c>
      <c r="AF13" s="72">
        <f>IFERROR(__xludf.DUMMYFUNCTION("""COMPUTED_VALUE"""),0.5931318398996004)</f>
        <v>0.5931318399</v>
      </c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</row>
    <row r="14">
      <c r="B14" s="39" t="s">
        <v>227</v>
      </c>
      <c r="C14" s="29">
        <f>IFS('data raw'!E15&lt;=1, 1, 'data raw'!E15&lt;=25, 2, 'data raw'!E15&lt;=50, 3, 'data raw'!E15&lt;=75, 4, TRUE, 5)</f>
        <v>2</v>
      </c>
      <c r="D14" s="29">
        <f>IFS('data raw'!F15&lt;=1, 1, 'data raw'!F15&lt;=25, 2, 'data raw'!F15&lt;=50, 3, 'data raw'!F15&lt;=75, 4, TRUE, 5)</f>
        <v>1</v>
      </c>
      <c r="E14" s="29">
        <f>IFS('data raw'!G15&lt;=1, 1, 'data raw'!G15&lt;=25, 2, 'data raw'!G15&lt;=50, 3, 'data raw'!G15&lt;=75, 4, TRUE, 5)</f>
        <v>3</v>
      </c>
      <c r="F14" s="29">
        <f>IFS('data raw'!H15&lt;=1, 1, 'data raw'!H15&lt;=3, 2, 'data raw'!H15&lt;=5, 3, 'data raw'!H15&lt;=7, 4, TRUE, 5)</f>
        <v>5</v>
      </c>
      <c r="G14" s="29">
        <f>IFS('data raw'!M15&lt;=100, 5, 'data raw'!M15&lt;=200, 4, 'data raw'!M15&lt;=350, 3, 'data raw'!M15&lt;=500, 2, TRUE, 1)</f>
        <v>5</v>
      </c>
      <c r="I14" s="39" t="s">
        <v>228</v>
      </c>
      <c r="J14" s="29">
        <f t="shared" si="1"/>
        <v>0.2156655464</v>
      </c>
      <c r="K14" s="29">
        <f t="shared" si="2"/>
        <v>0.130188911</v>
      </c>
      <c r="L14" s="29">
        <f t="shared" si="3"/>
        <v>0.1901172752</v>
      </c>
      <c r="M14" s="29">
        <f t="shared" si="4"/>
        <v>0.3450327797</v>
      </c>
      <c r="N14" s="29">
        <f t="shared" si="5"/>
        <v>0.2383656473</v>
      </c>
      <c r="P14" s="76" t="s">
        <v>229</v>
      </c>
      <c r="Q14" s="71">
        <f t="shared" si="6"/>
        <v>0.04313310928</v>
      </c>
      <c r="R14" s="71">
        <f t="shared" si="7"/>
        <v>0.01952833665</v>
      </c>
      <c r="S14" s="71">
        <f t="shared" si="8"/>
        <v>0.01901172752</v>
      </c>
      <c r="T14" s="71">
        <f t="shared" si="9"/>
        <v>0.08625819492</v>
      </c>
      <c r="U14" s="71">
        <f t="shared" si="10"/>
        <v>0.07150969419</v>
      </c>
      <c r="V14" s="72"/>
      <c r="W14" s="39" t="s">
        <v>230</v>
      </c>
      <c r="X14" s="29">
        <f t="shared" si="11"/>
        <v>0.06605494971</v>
      </c>
      <c r="Y14" s="73">
        <f t="shared" si="12"/>
        <v>0.08241726404</v>
      </c>
      <c r="Z14" s="68"/>
      <c r="AA14" s="76" t="s">
        <v>231</v>
      </c>
      <c r="AB14" s="74">
        <f t="shared" si="13"/>
        <v>0.5551022778</v>
      </c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</row>
    <row r="15">
      <c r="B15" s="39" t="s">
        <v>232</v>
      </c>
      <c r="C15" s="29">
        <f>IFS('data raw'!E16&lt;=1, 1, 'data raw'!E16&lt;=25, 2, 'data raw'!E16&lt;=50, 3, 'data raw'!E16&lt;=75, 4, TRUE, 5)</f>
        <v>2</v>
      </c>
      <c r="D15" s="29">
        <f>IFS('data raw'!F16&lt;=1, 1, 'data raw'!F16&lt;=25, 2, 'data raw'!F16&lt;=50, 3, 'data raw'!F16&lt;=75, 4, TRUE, 5)</f>
        <v>1</v>
      </c>
      <c r="E15" s="29">
        <f>IFS('data raw'!G16&lt;=1, 1, 'data raw'!G16&lt;=25, 2, 'data raw'!G16&lt;=50, 3, 'data raw'!G16&lt;=75, 4, TRUE, 5)</f>
        <v>3</v>
      </c>
      <c r="F15" s="29">
        <f>IFS('data raw'!H16&lt;=1, 1, 'data raw'!H16&lt;=3, 2, 'data raw'!H16&lt;=5, 3, 'data raw'!H16&lt;=7, 4, TRUE, 5)</f>
        <v>1</v>
      </c>
      <c r="G15" s="29">
        <f>IFS('data raw'!M16&lt;=100, 5, 'data raw'!M16&lt;=200, 4, 'data raw'!M16&lt;=350, 3, 'data raw'!M16&lt;=500, 2, TRUE, 1)</f>
        <v>5</v>
      </c>
      <c r="I15" s="39" t="s">
        <v>233</v>
      </c>
      <c r="J15" s="29">
        <f t="shared" si="1"/>
        <v>0.2156655464</v>
      </c>
      <c r="K15" s="29">
        <f t="shared" si="2"/>
        <v>0.130188911</v>
      </c>
      <c r="L15" s="29">
        <f t="shared" si="3"/>
        <v>0.1901172752</v>
      </c>
      <c r="M15" s="29">
        <f t="shared" si="4"/>
        <v>0.06900655593</v>
      </c>
      <c r="N15" s="29">
        <f t="shared" si="5"/>
        <v>0.2383656473</v>
      </c>
      <c r="P15" s="76" t="s">
        <v>234</v>
      </c>
      <c r="Q15" s="71">
        <f t="shared" si="6"/>
        <v>0.04313310928</v>
      </c>
      <c r="R15" s="71">
        <f t="shared" si="7"/>
        <v>0.01952833665</v>
      </c>
      <c r="S15" s="71">
        <f t="shared" si="8"/>
        <v>0.01901172752</v>
      </c>
      <c r="T15" s="71">
        <f t="shared" si="9"/>
        <v>0.01725163898</v>
      </c>
      <c r="U15" s="71">
        <f t="shared" si="10"/>
        <v>0.07150969419</v>
      </c>
      <c r="V15" s="72"/>
      <c r="W15" s="39" t="s">
        <v>235</v>
      </c>
      <c r="X15" s="29">
        <f t="shared" si="11"/>
        <v>0.07842066815</v>
      </c>
      <c r="Y15" s="73">
        <f t="shared" si="12"/>
        <v>0.04506329605</v>
      </c>
      <c r="Z15" s="68"/>
      <c r="AA15" s="76" t="s">
        <v>236</v>
      </c>
      <c r="AB15" s="74">
        <f t="shared" si="13"/>
        <v>0.3649323727</v>
      </c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</row>
    <row r="16">
      <c r="B16" s="39" t="s">
        <v>237</v>
      </c>
      <c r="C16" s="29">
        <f>IFS('data raw'!E17&lt;=1, 1, 'data raw'!E17&lt;=25, 2, 'data raw'!E17&lt;=50, 3, 'data raw'!E17&lt;=75, 4, TRUE, 5)</f>
        <v>2</v>
      </c>
      <c r="D16" s="29">
        <f>IFS('data raw'!F17&lt;=1, 1, 'data raw'!F17&lt;=25, 2, 'data raw'!F17&lt;=50, 3, 'data raw'!F17&lt;=75, 4, TRUE, 5)</f>
        <v>1</v>
      </c>
      <c r="E16" s="29">
        <f>IFS('data raw'!G17&lt;=1, 1, 'data raw'!G17&lt;=25, 2, 'data raw'!G17&lt;=50, 3, 'data raw'!G17&lt;=75, 4, TRUE, 5)</f>
        <v>3</v>
      </c>
      <c r="F16" s="29">
        <f>IFS('data raw'!H17&lt;=1, 1, 'data raw'!H17&lt;=3, 2, 'data raw'!H17&lt;=5, 3, 'data raw'!H17&lt;=7, 4, TRUE, 5)</f>
        <v>2</v>
      </c>
      <c r="G16" s="29">
        <f>IFS('data raw'!M17&lt;=100, 5, 'data raw'!M17&lt;=200, 4, 'data raw'!M17&lt;=350, 3, 'data raw'!M17&lt;=500, 2, TRUE, 1)</f>
        <v>5</v>
      </c>
      <c r="I16" s="39" t="s">
        <v>238</v>
      </c>
      <c r="J16" s="29">
        <f t="shared" si="1"/>
        <v>0.2156655464</v>
      </c>
      <c r="K16" s="29">
        <f t="shared" si="2"/>
        <v>0.130188911</v>
      </c>
      <c r="L16" s="29">
        <f t="shared" si="3"/>
        <v>0.1901172752</v>
      </c>
      <c r="M16" s="29">
        <f t="shared" si="4"/>
        <v>0.1380131119</v>
      </c>
      <c r="N16" s="29">
        <f t="shared" si="5"/>
        <v>0.2383656473</v>
      </c>
      <c r="P16" s="76" t="s">
        <v>239</v>
      </c>
      <c r="Q16" s="71">
        <f t="shared" si="6"/>
        <v>0.04313310928</v>
      </c>
      <c r="R16" s="71">
        <f t="shared" si="7"/>
        <v>0.01952833665</v>
      </c>
      <c r="S16" s="71">
        <f t="shared" si="8"/>
        <v>0.01901172752</v>
      </c>
      <c r="T16" s="71">
        <f t="shared" si="9"/>
        <v>0.03450327797</v>
      </c>
      <c r="U16" s="71">
        <f t="shared" si="10"/>
        <v>0.07150969419</v>
      </c>
      <c r="V16" s="72"/>
      <c r="W16" s="39" t="s">
        <v>240</v>
      </c>
      <c r="X16" s="29">
        <f t="shared" si="11"/>
        <v>0.06935638288</v>
      </c>
      <c r="Y16" s="73">
        <f t="shared" si="12"/>
        <v>0.04825266519</v>
      </c>
      <c r="Z16" s="68"/>
      <c r="AA16" s="76" t="s">
        <v>241</v>
      </c>
      <c r="AB16" s="74">
        <f t="shared" si="13"/>
        <v>0.4102802121</v>
      </c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</row>
    <row r="17">
      <c r="B17" s="39" t="s">
        <v>242</v>
      </c>
      <c r="C17" s="29">
        <f>IFS('data raw'!E18&lt;=1, 1, 'data raw'!E18&lt;=25, 2, 'data raw'!E18&lt;=50, 3, 'data raw'!E18&lt;=75, 4, TRUE, 5)</f>
        <v>1</v>
      </c>
      <c r="D17" s="29">
        <f>IFS('data raw'!F18&lt;=1, 1, 'data raw'!F18&lt;=25, 2, 'data raw'!F18&lt;=50, 3, 'data raw'!F18&lt;=75, 4, TRUE, 5)</f>
        <v>1</v>
      </c>
      <c r="E17" s="29">
        <f>IFS('data raw'!G18&lt;=1, 1, 'data raw'!G18&lt;=25, 2, 'data raw'!G18&lt;=50, 3, 'data raw'!G18&lt;=75, 4, TRUE, 5)</f>
        <v>2</v>
      </c>
      <c r="F17" s="29">
        <f>IFS('data raw'!H18&lt;=1, 1, 'data raw'!H18&lt;=3, 2, 'data raw'!H18&lt;=5, 3, 'data raw'!H18&lt;=7, 4, TRUE, 5)</f>
        <v>1</v>
      </c>
      <c r="G17" s="29">
        <f>IFS('data raw'!M18&lt;=100, 5, 'data raw'!M18&lt;=200, 4, 'data raw'!M18&lt;=350, 3, 'data raw'!M18&lt;=500, 2, TRUE, 1)</f>
        <v>5</v>
      </c>
      <c r="I17" s="39" t="s">
        <v>243</v>
      </c>
      <c r="J17" s="29">
        <f t="shared" si="1"/>
        <v>0.1078327732</v>
      </c>
      <c r="K17" s="29">
        <f t="shared" si="2"/>
        <v>0.130188911</v>
      </c>
      <c r="L17" s="29">
        <f t="shared" si="3"/>
        <v>0.1267448501</v>
      </c>
      <c r="M17" s="29">
        <f t="shared" si="4"/>
        <v>0.06900655593</v>
      </c>
      <c r="N17" s="29">
        <f t="shared" si="5"/>
        <v>0.2383656473</v>
      </c>
      <c r="P17" s="76" t="s">
        <v>244</v>
      </c>
      <c r="Q17" s="71">
        <f t="shared" si="6"/>
        <v>0.02156655464</v>
      </c>
      <c r="R17" s="71">
        <f t="shared" si="7"/>
        <v>0.01952833665</v>
      </c>
      <c r="S17" s="71">
        <f t="shared" si="8"/>
        <v>0.01267448501</v>
      </c>
      <c r="T17" s="71">
        <f t="shared" si="9"/>
        <v>0.01725163898</v>
      </c>
      <c r="U17" s="71">
        <f t="shared" si="10"/>
        <v>0.07150969419</v>
      </c>
      <c r="V17" s="72"/>
      <c r="W17" s="39" t="s">
        <v>245</v>
      </c>
      <c r="X17" s="29">
        <f t="shared" si="11"/>
        <v>0.08801109727</v>
      </c>
      <c r="Y17" s="73">
        <f t="shared" si="12"/>
        <v>0.03905667329</v>
      </c>
      <c r="Z17" s="68"/>
      <c r="AA17" s="76" t="s">
        <v>246</v>
      </c>
      <c r="AB17" s="74">
        <f t="shared" si="13"/>
        <v>0.3073688404</v>
      </c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</row>
    <row r="18">
      <c r="B18" s="39" t="s">
        <v>247</v>
      </c>
      <c r="C18" s="29">
        <f>IFS('data raw'!E19&lt;=1, 1, 'data raw'!E19&lt;=25, 2, 'data raw'!E19&lt;=50, 3, 'data raw'!E19&lt;=75, 4, TRUE, 5)</f>
        <v>1</v>
      </c>
      <c r="D18" s="29">
        <f>IFS('data raw'!F19&lt;=1, 1, 'data raw'!F19&lt;=25, 2, 'data raw'!F19&lt;=50, 3, 'data raw'!F19&lt;=75, 4, TRUE, 5)</f>
        <v>1</v>
      </c>
      <c r="E18" s="29">
        <f>IFS('data raw'!G19&lt;=1, 1, 'data raw'!G19&lt;=25, 2, 'data raw'!G19&lt;=50, 3, 'data raw'!G19&lt;=75, 4, TRUE, 5)</f>
        <v>3</v>
      </c>
      <c r="F18" s="29">
        <f>IFS('data raw'!H19&lt;=1, 1, 'data raw'!H19&lt;=3, 2, 'data raw'!H19&lt;=5, 3, 'data raw'!H19&lt;=7, 4, TRUE, 5)</f>
        <v>2</v>
      </c>
      <c r="G18" s="29">
        <f>IFS('data raw'!M19&lt;=100, 5, 'data raw'!M19&lt;=200, 4, 'data raw'!M19&lt;=350, 3, 'data raw'!M19&lt;=500, 2, TRUE, 1)</f>
        <v>5</v>
      </c>
      <c r="I18" s="39" t="s">
        <v>248</v>
      </c>
      <c r="J18" s="29">
        <f t="shared" si="1"/>
        <v>0.1078327732</v>
      </c>
      <c r="K18" s="29">
        <f t="shared" si="2"/>
        <v>0.130188911</v>
      </c>
      <c r="L18" s="29">
        <f t="shared" si="3"/>
        <v>0.1901172752</v>
      </c>
      <c r="M18" s="29">
        <f t="shared" si="4"/>
        <v>0.1380131119</v>
      </c>
      <c r="N18" s="29">
        <f t="shared" si="5"/>
        <v>0.2383656473</v>
      </c>
      <c r="P18" s="76" t="s">
        <v>249</v>
      </c>
      <c r="Q18" s="71">
        <f t="shared" si="6"/>
        <v>0.02156655464</v>
      </c>
      <c r="R18" s="71">
        <f t="shared" si="7"/>
        <v>0.01952833665</v>
      </c>
      <c r="S18" s="71">
        <f t="shared" si="8"/>
        <v>0.01901172752</v>
      </c>
      <c r="T18" s="71">
        <f t="shared" si="9"/>
        <v>0.03450327797</v>
      </c>
      <c r="U18" s="71">
        <f t="shared" si="10"/>
        <v>0.07150969419</v>
      </c>
      <c r="V18" s="72"/>
      <c r="W18" s="39" t="s">
        <v>250</v>
      </c>
      <c r="X18" s="29">
        <f t="shared" si="11"/>
        <v>0.07877599053</v>
      </c>
      <c r="Y18" s="73">
        <f t="shared" si="12"/>
        <v>0.04316484008</v>
      </c>
      <c r="Z18" s="68"/>
      <c r="AA18" s="76" t="s">
        <v>251</v>
      </c>
      <c r="AB18" s="74">
        <f t="shared" si="13"/>
        <v>0.353981844</v>
      </c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</row>
    <row r="19">
      <c r="B19" s="43" t="s">
        <v>252</v>
      </c>
      <c r="C19" s="29">
        <f>IFS('data raw'!E20&lt;=1, 1, 'data raw'!E20&lt;=25, 2, 'data raw'!E20&lt;=50, 3, 'data raw'!E20&lt;=75, 4, TRUE, 5)</f>
        <v>2</v>
      </c>
      <c r="D19" s="29">
        <f>IFS('data raw'!F20&lt;=1, 1, 'data raw'!F20&lt;=25, 2, 'data raw'!F20&lt;=50, 3, 'data raw'!F20&lt;=75, 4, TRUE, 5)</f>
        <v>1</v>
      </c>
      <c r="E19" s="29">
        <f>IFS('data raw'!G20&lt;=1, 1, 'data raw'!G20&lt;=25, 2, 'data raw'!G20&lt;=50, 3, 'data raw'!G20&lt;=75, 4, TRUE, 5)</f>
        <v>3</v>
      </c>
      <c r="F19" s="29">
        <f>IFS('data raw'!H20&lt;=1, 1, 'data raw'!H20&lt;=3, 2, 'data raw'!H20&lt;=5, 3, 'data raw'!H20&lt;=7, 4, TRUE, 5)</f>
        <v>1</v>
      </c>
      <c r="G19" s="29">
        <f>IFS('data raw'!M20&lt;=100, 5, 'data raw'!M20&lt;=200, 4, 'data raw'!M20&lt;=350, 3, 'data raw'!M20&lt;=500, 2, TRUE, 1)</f>
        <v>5</v>
      </c>
      <c r="I19" s="43" t="s">
        <v>253</v>
      </c>
      <c r="J19" s="29">
        <f t="shared" si="1"/>
        <v>0.2156655464</v>
      </c>
      <c r="K19" s="29">
        <f t="shared" si="2"/>
        <v>0.130188911</v>
      </c>
      <c r="L19" s="29">
        <f t="shared" si="3"/>
        <v>0.1901172752</v>
      </c>
      <c r="M19" s="29">
        <f t="shared" si="4"/>
        <v>0.06900655593</v>
      </c>
      <c r="N19" s="29">
        <f t="shared" si="5"/>
        <v>0.2383656473</v>
      </c>
      <c r="P19" s="81" t="s">
        <v>254</v>
      </c>
      <c r="Q19" s="71">
        <f t="shared" si="6"/>
        <v>0.04313310928</v>
      </c>
      <c r="R19" s="71">
        <f t="shared" si="7"/>
        <v>0.01952833665</v>
      </c>
      <c r="S19" s="71">
        <f t="shared" si="8"/>
        <v>0.01901172752</v>
      </c>
      <c r="T19" s="71">
        <f t="shared" si="9"/>
        <v>0.01725163898</v>
      </c>
      <c r="U19" s="71">
        <f t="shared" si="10"/>
        <v>0.07150969419</v>
      </c>
      <c r="V19" s="72"/>
      <c r="W19" s="43" t="s">
        <v>255</v>
      </c>
      <c r="X19" s="29">
        <f t="shared" si="11"/>
        <v>0.07842066815</v>
      </c>
      <c r="Y19" s="73">
        <f t="shared" si="12"/>
        <v>0.04506329605</v>
      </c>
      <c r="Z19" s="68"/>
      <c r="AA19" s="81" t="s">
        <v>256</v>
      </c>
      <c r="AB19" s="74">
        <f t="shared" si="13"/>
        <v>0.3649323727</v>
      </c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</row>
    <row r="20">
      <c r="B20" s="39" t="s">
        <v>257</v>
      </c>
      <c r="C20" s="29">
        <f>IFS('data raw'!E21&lt;=1, 1, 'data raw'!E21&lt;=25, 2, 'data raw'!E21&lt;=50, 3, 'data raw'!E21&lt;=75, 4, TRUE, 5)</f>
        <v>1</v>
      </c>
      <c r="D20" s="29">
        <f>IFS('data raw'!F21&lt;=1, 1, 'data raw'!F21&lt;=25, 2, 'data raw'!F21&lt;=50, 3, 'data raw'!F21&lt;=75, 4, TRUE, 5)</f>
        <v>1</v>
      </c>
      <c r="E20" s="29">
        <f>IFS('data raw'!G21&lt;=1, 1, 'data raw'!G21&lt;=25, 2, 'data raw'!G21&lt;=50, 3, 'data raw'!G21&lt;=75, 4, TRUE, 5)</f>
        <v>2</v>
      </c>
      <c r="F20" s="29">
        <f>IFS('data raw'!H21&lt;=1, 1, 'data raw'!H21&lt;=3, 2, 'data raw'!H21&lt;=5, 3, 'data raw'!H21&lt;=7, 4, TRUE, 5)</f>
        <v>3</v>
      </c>
      <c r="G20" s="29">
        <f>IFS('data raw'!M21&lt;=100, 5, 'data raw'!M21&lt;=200, 4, 'data raw'!M21&lt;=350, 3, 'data raw'!M21&lt;=500, 2, TRUE, 1)</f>
        <v>5</v>
      </c>
      <c r="I20" s="39" t="s">
        <v>258</v>
      </c>
      <c r="J20" s="29">
        <f t="shared" si="1"/>
        <v>0.1078327732</v>
      </c>
      <c r="K20" s="29">
        <f t="shared" si="2"/>
        <v>0.130188911</v>
      </c>
      <c r="L20" s="29">
        <f t="shared" si="3"/>
        <v>0.1267448501</v>
      </c>
      <c r="M20" s="29">
        <f t="shared" si="4"/>
        <v>0.2070196678</v>
      </c>
      <c r="N20" s="29">
        <f t="shared" si="5"/>
        <v>0.2383656473</v>
      </c>
      <c r="P20" s="76" t="s">
        <v>259</v>
      </c>
      <c r="Q20" s="71">
        <f t="shared" si="6"/>
        <v>0.02156655464</v>
      </c>
      <c r="R20" s="71">
        <f t="shared" si="7"/>
        <v>0.01952833665</v>
      </c>
      <c r="S20" s="71">
        <f t="shared" si="8"/>
        <v>0.01267448501</v>
      </c>
      <c r="T20" s="71">
        <f t="shared" si="9"/>
        <v>0.05175491695</v>
      </c>
      <c r="U20" s="71">
        <f t="shared" si="10"/>
        <v>0.07150969419</v>
      </c>
      <c r="V20" s="72"/>
      <c r="W20" s="39" t="s">
        <v>260</v>
      </c>
      <c r="X20" s="29">
        <f t="shared" si="11"/>
        <v>0.0752476222</v>
      </c>
      <c r="Y20" s="73">
        <f t="shared" si="12"/>
        <v>0.05211429669</v>
      </c>
      <c r="Z20" s="68"/>
      <c r="AA20" s="76" t="s">
        <v>261</v>
      </c>
      <c r="AB20" s="74">
        <f t="shared" si="13"/>
        <v>0.4091827223</v>
      </c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</row>
    <row r="21">
      <c r="B21" s="39" t="s">
        <v>262</v>
      </c>
      <c r="C21" s="29">
        <f>IFS('data raw'!E22&lt;=1, 1, 'data raw'!E22&lt;=25, 2, 'data raw'!E22&lt;=50, 3, 'data raw'!E22&lt;=75, 4, TRUE, 5)</f>
        <v>2</v>
      </c>
      <c r="D21" s="29">
        <f>IFS('data raw'!F22&lt;=1, 1, 'data raw'!F22&lt;=25, 2, 'data raw'!F22&lt;=50, 3, 'data raw'!F22&lt;=75, 4, TRUE, 5)</f>
        <v>2</v>
      </c>
      <c r="E21" s="29">
        <f>IFS('data raw'!G22&lt;=1, 1, 'data raw'!G22&lt;=25, 2, 'data raw'!G22&lt;=50, 3, 'data raw'!G22&lt;=75, 4, TRUE, 5)</f>
        <v>4</v>
      </c>
      <c r="F21" s="29">
        <f>IFS('data raw'!H22&lt;=1, 1, 'data raw'!H22&lt;=3, 2, 'data raw'!H22&lt;=5, 3, 'data raw'!H22&lt;=7, 4, TRUE, 5)</f>
        <v>3</v>
      </c>
      <c r="G21" s="29">
        <f>IFS('data raw'!M22&lt;=100, 5, 'data raw'!M22&lt;=200, 4, 'data raw'!M22&lt;=350, 3, 'data raw'!M22&lt;=500, 2, TRUE, 1)</f>
        <v>1</v>
      </c>
      <c r="I21" s="39" t="s">
        <v>263</v>
      </c>
      <c r="J21" s="29">
        <f t="shared" si="1"/>
        <v>0.2156655464</v>
      </c>
      <c r="K21" s="29">
        <f t="shared" si="2"/>
        <v>0.260377822</v>
      </c>
      <c r="L21" s="29">
        <f t="shared" si="3"/>
        <v>0.2534897002</v>
      </c>
      <c r="M21" s="29">
        <f t="shared" si="4"/>
        <v>0.2070196678</v>
      </c>
      <c r="N21" s="29">
        <f t="shared" si="5"/>
        <v>0.04767312946</v>
      </c>
      <c r="P21" s="76" t="s">
        <v>264</v>
      </c>
      <c r="Q21" s="71">
        <f t="shared" si="6"/>
        <v>0.04313310928</v>
      </c>
      <c r="R21" s="71">
        <f t="shared" si="7"/>
        <v>0.03905667329</v>
      </c>
      <c r="S21" s="71">
        <f t="shared" si="8"/>
        <v>0.02534897002</v>
      </c>
      <c r="T21" s="71">
        <f t="shared" si="9"/>
        <v>0.05175491695</v>
      </c>
      <c r="U21" s="71">
        <f t="shared" si="10"/>
        <v>0.01430193884</v>
      </c>
      <c r="V21" s="72"/>
      <c r="W21" s="39" t="s">
        <v>265</v>
      </c>
      <c r="X21" s="29">
        <f t="shared" si="11"/>
        <v>0.03246843587</v>
      </c>
      <c r="Y21" s="73">
        <f t="shared" si="12"/>
        <v>0.0739615998</v>
      </c>
      <c r="Z21" s="68"/>
      <c r="AA21" s="76" t="s">
        <v>266</v>
      </c>
      <c r="AB21" s="74">
        <f t="shared" si="13"/>
        <v>0.6949316453</v>
      </c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</row>
    <row r="22">
      <c r="B22" s="38" t="s">
        <v>267</v>
      </c>
      <c r="C22" s="29">
        <f>IFS('data raw'!E23&lt;=1, 1, 'data raw'!E23&lt;=25, 2, 'data raw'!E23&lt;=50, 3, 'data raw'!E23&lt;=75, 4, TRUE, 5)</f>
        <v>1</v>
      </c>
      <c r="D22" s="29">
        <f>IFS('data raw'!F23&lt;=1, 1, 'data raw'!F23&lt;=25, 2, 'data raw'!F23&lt;=50, 3, 'data raw'!F23&lt;=75, 4, TRUE, 5)</f>
        <v>2</v>
      </c>
      <c r="E22" s="29">
        <f>IFS('data raw'!G23&lt;=1, 1, 'data raw'!G23&lt;=25, 2, 'data raw'!G23&lt;=50, 3, 'data raw'!G23&lt;=75, 4, TRUE, 5)</f>
        <v>4</v>
      </c>
      <c r="F22" s="29">
        <f>IFS('data raw'!H23&lt;=1, 1, 'data raw'!H23&lt;=3, 2, 'data raw'!H23&lt;=5, 3, 'data raw'!H23&lt;=7, 4, TRUE, 5)</f>
        <v>5</v>
      </c>
      <c r="G22" s="29">
        <f>IFS('data raw'!M23&lt;=100, 5, 'data raw'!M23&lt;=200, 4, 'data raw'!M23&lt;=350, 3, 'data raw'!M23&lt;=500, 2, TRUE, 1)</f>
        <v>5</v>
      </c>
      <c r="I22" s="38" t="s">
        <v>268</v>
      </c>
      <c r="J22" s="29">
        <f t="shared" si="1"/>
        <v>0.1078327732</v>
      </c>
      <c r="K22" s="29">
        <f t="shared" si="2"/>
        <v>0.260377822</v>
      </c>
      <c r="L22" s="29">
        <f t="shared" si="3"/>
        <v>0.2534897002</v>
      </c>
      <c r="M22" s="29">
        <f t="shared" si="4"/>
        <v>0.3450327797</v>
      </c>
      <c r="N22" s="29">
        <f t="shared" si="5"/>
        <v>0.2383656473</v>
      </c>
      <c r="P22" s="75" t="s">
        <v>269</v>
      </c>
      <c r="Q22" s="71">
        <f t="shared" si="6"/>
        <v>0.02156655464</v>
      </c>
      <c r="R22" s="71">
        <f t="shared" si="7"/>
        <v>0.03905667329</v>
      </c>
      <c r="S22" s="71">
        <f t="shared" si="8"/>
        <v>0.02534897002</v>
      </c>
      <c r="T22" s="71">
        <f t="shared" si="9"/>
        <v>0.08625819492</v>
      </c>
      <c r="U22" s="71">
        <f t="shared" si="10"/>
        <v>0.07150969419</v>
      </c>
      <c r="V22" s="72"/>
      <c r="W22" s="38" t="s">
        <v>270</v>
      </c>
      <c r="X22" s="29">
        <f t="shared" si="11"/>
        <v>0.07758530288</v>
      </c>
      <c r="Y22" s="73">
        <f t="shared" si="12"/>
        <v>0.07282790169</v>
      </c>
      <c r="Z22" s="68"/>
      <c r="AA22" s="75" t="s">
        <v>271</v>
      </c>
      <c r="AB22" s="74">
        <f t="shared" si="13"/>
        <v>0.48418556</v>
      </c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</row>
    <row r="23">
      <c r="B23" s="39" t="s">
        <v>272</v>
      </c>
      <c r="C23" s="29">
        <f>IFS('data raw'!E24&lt;=1, 1, 'data raw'!E24&lt;=25, 2, 'data raw'!E24&lt;=50, 3, 'data raw'!E24&lt;=75, 4, TRUE, 5)</f>
        <v>2</v>
      </c>
      <c r="D23" s="29">
        <f>IFS('data raw'!F24&lt;=1, 1, 'data raw'!F24&lt;=25, 2, 'data raw'!F24&lt;=50, 3, 'data raw'!F24&lt;=75, 4, TRUE, 5)</f>
        <v>2</v>
      </c>
      <c r="E23" s="29">
        <f>IFS('data raw'!G24&lt;=1, 1, 'data raw'!G24&lt;=25, 2, 'data raw'!G24&lt;=50, 3, 'data raw'!G24&lt;=75, 4, TRUE, 5)</f>
        <v>4</v>
      </c>
      <c r="F23" s="29">
        <f>IFS('data raw'!H24&lt;=1, 1, 'data raw'!H24&lt;=3, 2, 'data raw'!H24&lt;=5, 3, 'data raw'!H24&lt;=7, 4, TRUE, 5)</f>
        <v>3</v>
      </c>
      <c r="G23" s="29">
        <f>IFS('data raw'!M24&lt;=100, 5, 'data raw'!M24&lt;=200, 4, 'data raw'!M24&lt;=350, 3, 'data raw'!M24&lt;=500, 2, TRUE, 1)</f>
        <v>1</v>
      </c>
      <c r="I23" s="39" t="s">
        <v>273</v>
      </c>
      <c r="J23" s="29">
        <f t="shared" si="1"/>
        <v>0.2156655464</v>
      </c>
      <c r="K23" s="29">
        <f t="shared" si="2"/>
        <v>0.260377822</v>
      </c>
      <c r="L23" s="29">
        <f t="shared" si="3"/>
        <v>0.2534897002</v>
      </c>
      <c r="M23" s="29">
        <f t="shared" si="4"/>
        <v>0.2070196678</v>
      </c>
      <c r="N23" s="29">
        <f t="shared" si="5"/>
        <v>0.04767312946</v>
      </c>
      <c r="P23" s="76" t="s">
        <v>274</v>
      </c>
      <c r="Q23" s="71">
        <f t="shared" si="6"/>
        <v>0.04313310928</v>
      </c>
      <c r="R23" s="71">
        <f t="shared" si="7"/>
        <v>0.03905667329</v>
      </c>
      <c r="S23" s="71">
        <f t="shared" si="8"/>
        <v>0.02534897002</v>
      </c>
      <c r="T23" s="71">
        <f t="shared" si="9"/>
        <v>0.05175491695</v>
      </c>
      <c r="U23" s="71">
        <f t="shared" si="10"/>
        <v>0.01430193884</v>
      </c>
      <c r="V23" s="72"/>
      <c r="W23" s="39" t="s">
        <v>275</v>
      </c>
      <c r="X23" s="29">
        <f t="shared" si="11"/>
        <v>0.03246843587</v>
      </c>
      <c r="Y23" s="73">
        <f t="shared" si="12"/>
        <v>0.0739615998</v>
      </c>
      <c r="Z23" s="68"/>
      <c r="AA23" s="76" t="s">
        <v>276</v>
      </c>
      <c r="AB23" s="74">
        <f t="shared" si="13"/>
        <v>0.6949316453</v>
      </c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</row>
    <row r="24">
      <c r="B24" s="39" t="s">
        <v>277</v>
      </c>
      <c r="C24" s="29">
        <f>IFS('data raw'!E25&lt;=1, 1, 'data raw'!E25&lt;=25, 2, 'data raw'!E25&lt;=50, 3, 'data raw'!E25&lt;=75, 4, TRUE, 5)</f>
        <v>2</v>
      </c>
      <c r="D24" s="29">
        <f>IFS('data raw'!F25&lt;=1, 1, 'data raw'!F25&lt;=25, 2, 'data raw'!F25&lt;=50, 3, 'data raw'!F25&lt;=75, 4, TRUE, 5)</f>
        <v>2</v>
      </c>
      <c r="E24" s="29">
        <f>IFS('data raw'!G25&lt;=1, 1, 'data raw'!G25&lt;=25, 2, 'data raw'!G25&lt;=50, 3, 'data raw'!G25&lt;=75, 4, TRUE, 5)</f>
        <v>4</v>
      </c>
      <c r="F24" s="29">
        <f>IFS('data raw'!H25&lt;=1, 1, 'data raw'!H25&lt;=3, 2, 'data raw'!H25&lt;=5, 3, 'data raw'!H25&lt;=7, 4, TRUE, 5)</f>
        <v>3</v>
      </c>
      <c r="G24" s="29">
        <f>IFS('data raw'!M25&lt;=100, 5, 'data raw'!M25&lt;=200, 4, 'data raw'!M25&lt;=350, 3, 'data raw'!M25&lt;=500, 2, TRUE, 1)</f>
        <v>2</v>
      </c>
      <c r="I24" s="39" t="s">
        <v>278</v>
      </c>
      <c r="J24" s="29">
        <f t="shared" si="1"/>
        <v>0.2156655464</v>
      </c>
      <c r="K24" s="29">
        <f t="shared" si="2"/>
        <v>0.260377822</v>
      </c>
      <c r="L24" s="29">
        <f t="shared" si="3"/>
        <v>0.2534897002</v>
      </c>
      <c r="M24" s="29">
        <f t="shared" si="4"/>
        <v>0.2070196678</v>
      </c>
      <c r="N24" s="29">
        <f t="shared" si="5"/>
        <v>0.09534625892</v>
      </c>
      <c r="P24" s="76" t="s">
        <v>279</v>
      </c>
      <c r="Q24" s="71">
        <f t="shared" si="6"/>
        <v>0.04313310928</v>
      </c>
      <c r="R24" s="71">
        <f t="shared" si="7"/>
        <v>0.03905667329</v>
      </c>
      <c r="S24" s="71">
        <f t="shared" si="8"/>
        <v>0.02534897002</v>
      </c>
      <c r="T24" s="71">
        <f t="shared" si="9"/>
        <v>0.05175491695</v>
      </c>
      <c r="U24" s="71">
        <f t="shared" si="10"/>
        <v>0.02860387768</v>
      </c>
      <c r="V24" s="72"/>
      <c r="W24" s="39" t="s">
        <v>280</v>
      </c>
      <c r="X24" s="29">
        <f t="shared" si="11"/>
        <v>0.03547879342</v>
      </c>
      <c r="Y24" s="73">
        <f t="shared" si="12"/>
        <v>0.06354919404</v>
      </c>
      <c r="Z24" s="68"/>
      <c r="AA24" s="76" t="s">
        <v>281</v>
      </c>
      <c r="AB24" s="74">
        <f t="shared" si="13"/>
        <v>0.6417296329</v>
      </c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</row>
    <row r="25">
      <c r="B25" s="39" t="s">
        <v>282</v>
      </c>
      <c r="C25" s="29">
        <f>IFS('data raw'!E26&lt;=1, 1, 'data raw'!E26&lt;=25, 2, 'data raw'!E26&lt;=50, 3, 'data raw'!E26&lt;=75, 4, TRUE, 5)</f>
        <v>2</v>
      </c>
      <c r="D25" s="29">
        <f>IFS('data raw'!F26&lt;=1, 1, 'data raw'!F26&lt;=25, 2, 'data raw'!F26&lt;=50, 3, 'data raw'!F26&lt;=75, 4, TRUE, 5)</f>
        <v>1</v>
      </c>
      <c r="E25" s="29">
        <f>IFS('data raw'!G26&lt;=1, 1, 'data raw'!G26&lt;=25, 2, 'data raw'!G26&lt;=50, 3, 'data raw'!G26&lt;=75, 4, TRUE, 5)</f>
        <v>4</v>
      </c>
      <c r="F25" s="29">
        <f>IFS('data raw'!H26&lt;=1, 1, 'data raw'!H26&lt;=3, 2, 'data raw'!H26&lt;=5, 3, 'data raw'!H26&lt;=7, 4, TRUE, 5)</f>
        <v>2</v>
      </c>
      <c r="G25" s="29">
        <f>IFS('data raw'!M26&lt;=100, 5, 'data raw'!M26&lt;=200, 4, 'data raw'!M26&lt;=350, 3, 'data raw'!M26&lt;=500, 2, TRUE, 1)</f>
        <v>5</v>
      </c>
      <c r="I25" s="39" t="s">
        <v>283</v>
      </c>
      <c r="J25" s="29">
        <f t="shared" si="1"/>
        <v>0.2156655464</v>
      </c>
      <c r="K25" s="29">
        <f t="shared" si="2"/>
        <v>0.130188911</v>
      </c>
      <c r="L25" s="29">
        <f t="shared" si="3"/>
        <v>0.2534897002</v>
      </c>
      <c r="M25" s="29">
        <f t="shared" si="4"/>
        <v>0.1380131119</v>
      </c>
      <c r="N25" s="29">
        <f t="shared" si="5"/>
        <v>0.2383656473</v>
      </c>
      <c r="P25" s="76" t="s">
        <v>284</v>
      </c>
      <c r="Q25" s="71">
        <f t="shared" si="6"/>
        <v>0.04313310928</v>
      </c>
      <c r="R25" s="71">
        <f t="shared" si="7"/>
        <v>0.01952833665</v>
      </c>
      <c r="S25" s="71">
        <f t="shared" si="8"/>
        <v>0.02534897002</v>
      </c>
      <c r="T25" s="71">
        <f t="shared" si="9"/>
        <v>0.03450327797</v>
      </c>
      <c r="U25" s="71">
        <f t="shared" si="10"/>
        <v>0.07150969419</v>
      </c>
      <c r="V25" s="72"/>
      <c r="W25" s="39" t="s">
        <v>285</v>
      </c>
      <c r="X25" s="29">
        <f t="shared" si="11"/>
        <v>0.06848230369</v>
      </c>
      <c r="Y25" s="73">
        <f t="shared" si="12"/>
        <v>0.04948536779</v>
      </c>
      <c r="Z25" s="68"/>
      <c r="AA25" s="76" t="s">
        <v>286</v>
      </c>
      <c r="AB25" s="74">
        <f t="shared" si="13"/>
        <v>0.4194824495</v>
      </c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</row>
    <row r="26">
      <c r="B26" s="39" t="s">
        <v>287</v>
      </c>
      <c r="C26" s="29">
        <f>IFS('data raw'!E27&lt;=1, 1, 'data raw'!E27&lt;=25, 2, 'data raw'!E27&lt;=50, 3, 'data raw'!E27&lt;=75, 4, TRUE, 5)</f>
        <v>1</v>
      </c>
      <c r="D26" s="29">
        <f>IFS('data raw'!F27&lt;=1, 1, 'data raw'!F27&lt;=25, 2, 'data raw'!F27&lt;=50, 3, 'data raw'!F27&lt;=75, 4, TRUE, 5)</f>
        <v>1</v>
      </c>
      <c r="E26" s="29">
        <f>IFS('data raw'!G27&lt;=1, 1, 'data raw'!G27&lt;=25, 2, 'data raw'!G27&lt;=50, 3, 'data raw'!G27&lt;=75, 4, TRUE, 5)</f>
        <v>2</v>
      </c>
      <c r="F26" s="29">
        <f>IFS('data raw'!H27&lt;=1, 1, 'data raw'!H27&lt;=3, 2, 'data raw'!H27&lt;=5, 3, 'data raw'!H27&lt;=7, 4, TRUE, 5)</f>
        <v>1</v>
      </c>
      <c r="G26" s="29">
        <f>IFS('data raw'!M27&lt;=100, 5, 'data raw'!M27&lt;=200, 4, 'data raw'!M27&lt;=350, 3, 'data raw'!M27&lt;=500, 2, TRUE, 1)</f>
        <v>5</v>
      </c>
      <c r="I26" s="39" t="s">
        <v>288</v>
      </c>
      <c r="J26" s="29">
        <f t="shared" si="1"/>
        <v>0.1078327732</v>
      </c>
      <c r="K26" s="29">
        <f t="shared" si="2"/>
        <v>0.130188911</v>
      </c>
      <c r="L26" s="29">
        <f t="shared" si="3"/>
        <v>0.1267448501</v>
      </c>
      <c r="M26" s="29">
        <f t="shared" si="4"/>
        <v>0.06900655593</v>
      </c>
      <c r="N26" s="29">
        <f t="shared" si="5"/>
        <v>0.2383656473</v>
      </c>
      <c r="P26" s="76" t="s">
        <v>289</v>
      </c>
      <c r="Q26" s="71">
        <f t="shared" si="6"/>
        <v>0.02156655464</v>
      </c>
      <c r="R26" s="71">
        <f t="shared" si="7"/>
        <v>0.01952833665</v>
      </c>
      <c r="S26" s="71">
        <f t="shared" si="8"/>
        <v>0.01267448501</v>
      </c>
      <c r="T26" s="71">
        <f t="shared" si="9"/>
        <v>0.01725163898</v>
      </c>
      <c r="U26" s="71">
        <f t="shared" si="10"/>
        <v>0.07150969419</v>
      </c>
      <c r="V26" s="72"/>
      <c r="W26" s="39" t="s">
        <v>290</v>
      </c>
      <c r="X26" s="29">
        <f t="shared" si="11"/>
        <v>0.08801109727</v>
      </c>
      <c r="Y26" s="73">
        <f t="shared" si="12"/>
        <v>0.03905667329</v>
      </c>
      <c r="Z26" s="68"/>
      <c r="AA26" s="76" t="s">
        <v>291</v>
      </c>
      <c r="AB26" s="74">
        <f t="shared" si="13"/>
        <v>0.3073688404</v>
      </c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</row>
    <row r="27">
      <c r="B27" s="38" t="s">
        <v>292</v>
      </c>
      <c r="C27" s="29">
        <f>IFS('data raw'!E28&lt;=1, 1, 'data raw'!E28&lt;=25, 2, 'data raw'!E28&lt;=50, 3, 'data raw'!E28&lt;=75, 4, TRUE, 5)</f>
        <v>2</v>
      </c>
      <c r="D27" s="29">
        <f>IFS('data raw'!F28&lt;=1, 1, 'data raw'!F28&lt;=25, 2, 'data raw'!F28&lt;=50, 3, 'data raw'!F28&lt;=75, 4, TRUE, 5)</f>
        <v>1</v>
      </c>
      <c r="E27" s="29">
        <f>IFS('data raw'!G28&lt;=1, 1, 'data raw'!G28&lt;=25, 2, 'data raw'!G28&lt;=50, 3, 'data raw'!G28&lt;=75, 4, TRUE, 5)</f>
        <v>2</v>
      </c>
      <c r="F27" s="29">
        <f>IFS('data raw'!H28&lt;=1, 1, 'data raw'!H28&lt;=3, 2, 'data raw'!H28&lt;=5, 3, 'data raw'!H28&lt;=7, 4, TRUE, 5)</f>
        <v>2</v>
      </c>
      <c r="G27" s="29">
        <f>IFS('data raw'!M28&lt;=100, 5, 'data raw'!M28&lt;=200, 4, 'data raw'!M28&lt;=350, 3, 'data raw'!M28&lt;=500, 2, TRUE, 1)</f>
        <v>2</v>
      </c>
      <c r="I27" s="38" t="s">
        <v>293</v>
      </c>
      <c r="J27" s="29">
        <f t="shared" si="1"/>
        <v>0.2156655464</v>
      </c>
      <c r="K27" s="29">
        <f t="shared" si="2"/>
        <v>0.130188911</v>
      </c>
      <c r="L27" s="29">
        <f t="shared" si="3"/>
        <v>0.1267448501</v>
      </c>
      <c r="M27" s="29">
        <f t="shared" si="4"/>
        <v>0.1380131119</v>
      </c>
      <c r="N27" s="29">
        <f t="shared" si="5"/>
        <v>0.09534625892</v>
      </c>
      <c r="P27" s="75" t="s">
        <v>294</v>
      </c>
      <c r="Q27" s="71">
        <f t="shared" si="6"/>
        <v>0.04313310928</v>
      </c>
      <c r="R27" s="71">
        <f t="shared" si="7"/>
        <v>0.01952833665</v>
      </c>
      <c r="S27" s="71">
        <f t="shared" si="8"/>
        <v>0.01267448501</v>
      </c>
      <c r="T27" s="71">
        <f t="shared" si="9"/>
        <v>0.03450327797</v>
      </c>
      <c r="U27" s="71">
        <f t="shared" si="10"/>
        <v>0.02860387768</v>
      </c>
      <c r="V27" s="72"/>
      <c r="W27" s="38" t="s">
        <v>295</v>
      </c>
      <c r="X27" s="29">
        <f t="shared" si="11"/>
        <v>0.04407867105</v>
      </c>
      <c r="Y27" s="73">
        <f t="shared" si="12"/>
        <v>0.06425782557</v>
      </c>
      <c r="Z27" s="68"/>
      <c r="AA27" s="75" t="s">
        <v>296</v>
      </c>
      <c r="AB27" s="74">
        <f t="shared" si="13"/>
        <v>0.5931318399</v>
      </c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</row>
    <row r="28">
      <c r="B28" s="39" t="s">
        <v>297</v>
      </c>
      <c r="C28" s="29">
        <f>IFS('data raw'!E29&lt;=1, 1, 'data raw'!E29&lt;=25, 2, 'data raw'!E29&lt;=50, 3, 'data raw'!E29&lt;=75, 4, TRUE, 5)</f>
        <v>3</v>
      </c>
      <c r="D28" s="29">
        <f>IFS('data raw'!F29&lt;=1, 1, 'data raw'!F29&lt;=25, 2, 'data raw'!F29&lt;=50, 3, 'data raw'!F29&lt;=75, 4, TRUE, 5)</f>
        <v>3</v>
      </c>
      <c r="E28" s="29">
        <f>IFS('data raw'!G29&lt;=1, 1, 'data raw'!G29&lt;=25, 2, 'data raw'!G29&lt;=50, 3, 'data raw'!G29&lt;=75, 4, TRUE, 5)</f>
        <v>2</v>
      </c>
      <c r="F28" s="29">
        <f>IFS('data raw'!H29&lt;=1, 1, 'data raw'!H29&lt;=3, 2, 'data raw'!H29&lt;=5, 3, 'data raw'!H29&lt;=7, 4, TRUE, 5)</f>
        <v>5</v>
      </c>
      <c r="G28" s="29">
        <f>IFS('data raw'!M29&lt;=100, 5, 'data raw'!M29&lt;=200, 4, 'data raw'!M29&lt;=350, 3, 'data raw'!M29&lt;=500, 2, TRUE, 1)</f>
        <v>5</v>
      </c>
      <c r="I28" s="39" t="s">
        <v>298</v>
      </c>
      <c r="J28" s="29">
        <f t="shared" si="1"/>
        <v>0.3234983196</v>
      </c>
      <c r="K28" s="29">
        <f t="shared" si="2"/>
        <v>0.3905667329</v>
      </c>
      <c r="L28" s="29">
        <f t="shared" si="3"/>
        <v>0.1267448501</v>
      </c>
      <c r="M28" s="29">
        <f t="shared" si="4"/>
        <v>0.3450327797</v>
      </c>
      <c r="N28" s="29">
        <f t="shared" si="5"/>
        <v>0.2383656473</v>
      </c>
      <c r="P28" s="76" t="s">
        <v>299</v>
      </c>
      <c r="Q28" s="71">
        <f t="shared" si="6"/>
        <v>0.06469966392</v>
      </c>
      <c r="R28" s="71">
        <f t="shared" si="7"/>
        <v>0.05858500994</v>
      </c>
      <c r="S28" s="71">
        <f t="shared" si="8"/>
        <v>0.01267448501</v>
      </c>
      <c r="T28" s="71">
        <f t="shared" si="9"/>
        <v>0.08625819492</v>
      </c>
      <c r="U28" s="71">
        <f t="shared" si="10"/>
        <v>0.07150969419</v>
      </c>
      <c r="V28" s="72"/>
      <c r="W28" s="39" t="s">
        <v>300</v>
      </c>
      <c r="X28" s="29">
        <f t="shared" si="11"/>
        <v>0.07499578017</v>
      </c>
      <c r="Y28" s="73">
        <f t="shared" si="12"/>
        <v>0.08137794467</v>
      </c>
      <c r="Z28" s="68"/>
      <c r="AA28" s="76" t="s">
        <v>301</v>
      </c>
      <c r="AB28" s="74">
        <f t="shared" si="13"/>
        <v>0.5204067675</v>
      </c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</row>
    <row r="29">
      <c r="B29" s="39" t="s">
        <v>302</v>
      </c>
      <c r="C29" s="29">
        <f>IFS('data raw'!E30&lt;=1, 1, 'data raw'!E30&lt;=25, 2, 'data raw'!E30&lt;=50, 3, 'data raw'!E30&lt;=75, 4, TRUE, 5)</f>
        <v>2</v>
      </c>
      <c r="D29" s="29">
        <f>IFS('data raw'!F30&lt;=1, 1, 'data raw'!F30&lt;=25, 2, 'data raw'!F30&lt;=50, 3, 'data raw'!F30&lt;=75, 4, TRUE, 5)</f>
        <v>2</v>
      </c>
      <c r="E29" s="29">
        <f>IFS('data raw'!G30&lt;=1, 1, 'data raw'!G30&lt;=25, 2, 'data raw'!G30&lt;=50, 3, 'data raw'!G30&lt;=75, 4, TRUE, 5)</f>
        <v>2</v>
      </c>
      <c r="F29" s="29">
        <f>IFS('data raw'!H30&lt;=1, 1, 'data raw'!H30&lt;=3, 2, 'data raw'!H30&lt;=5, 3, 'data raw'!H30&lt;=7, 4, TRUE, 5)</f>
        <v>2</v>
      </c>
      <c r="G29" s="29">
        <f>IFS('data raw'!M30&lt;=100, 5, 'data raw'!M30&lt;=200, 4, 'data raw'!M30&lt;=350, 3, 'data raw'!M30&lt;=500, 2, TRUE, 1)</f>
        <v>4</v>
      </c>
      <c r="I29" s="39" t="s">
        <v>303</v>
      </c>
      <c r="J29" s="29">
        <f t="shared" si="1"/>
        <v>0.2156655464</v>
      </c>
      <c r="K29" s="29">
        <f t="shared" si="2"/>
        <v>0.260377822</v>
      </c>
      <c r="L29" s="29">
        <f t="shared" si="3"/>
        <v>0.1267448501</v>
      </c>
      <c r="M29" s="29">
        <f t="shared" si="4"/>
        <v>0.1380131119</v>
      </c>
      <c r="N29" s="29">
        <f t="shared" si="5"/>
        <v>0.1906925178</v>
      </c>
      <c r="P29" s="76" t="s">
        <v>304</v>
      </c>
      <c r="Q29" s="71">
        <f t="shared" si="6"/>
        <v>0.04313310928</v>
      </c>
      <c r="R29" s="71">
        <f t="shared" si="7"/>
        <v>0.03905667329</v>
      </c>
      <c r="S29" s="71">
        <f t="shared" si="8"/>
        <v>0.01267448501</v>
      </c>
      <c r="T29" s="71">
        <f t="shared" si="9"/>
        <v>0.03450327797</v>
      </c>
      <c r="U29" s="71">
        <f t="shared" si="10"/>
        <v>0.05720775535</v>
      </c>
      <c r="V29" s="72"/>
      <c r="W29" s="39" t="s">
        <v>305</v>
      </c>
      <c r="X29" s="29">
        <f t="shared" si="11"/>
        <v>0.06293368581</v>
      </c>
      <c r="Y29" s="73">
        <f t="shared" si="12"/>
        <v>0.03672378948</v>
      </c>
      <c r="Z29" s="68"/>
      <c r="AA29" s="76" t="s">
        <v>306</v>
      </c>
      <c r="AB29" s="74">
        <f t="shared" si="13"/>
        <v>0.3685000987</v>
      </c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</row>
    <row r="31">
      <c r="B31" s="36" t="s">
        <v>307</v>
      </c>
      <c r="C31" s="82">
        <f t="shared" ref="C31:G31" si="14">SUMPRODUCT(C6:C29^2)</f>
        <v>86</v>
      </c>
      <c r="D31" s="82">
        <f t="shared" si="14"/>
        <v>59</v>
      </c>
      <c r="E31" s="82">
        <f t="shared" si="14"/>
        <v>249</v>
      </c>
      <c r="F31" s="82">
        <f t="shared" si="14"/>
        <v>210</v>
      </c>
      <c r="G31" s="82">
        <f t="shared" si="14"/>
        <v>440</v>
      </c>
      <c r="P31" s="36" t="s">
        <v>308</v>
      </c>
      <c r="Q31" s="82">
        <f>MAX(Q6:Q29)</f>
        <v>0.06469966392</v>
      </c>
      <c r="R31" s="82">
        <f>MIN(R5:R28)</f>
        <v>0.01952833665</v>
      </c>
      <c r="S31" s="82">
        <f>MAX(S6:S29)</f>
        <v>0.03168621253</v>
      </c>
      <c r="T31" s="82">
        <f>MAX(Q6:Q29)</f>
        <v>0.06469966392</v>
      </c>
      <c r="U31" s="82">
        <f>MIN(U5:U28)</f>
        <v>0.01430193884</v>
      </c>
    </row>
    <row r="32">
      <c r="B32" s="36" t="s">
        <v>307</v>
      </c>
      <c r="C32" s="82">
        <f t="shared" ref="C32:G32" si="15">SQRT(SUMPRODUCT(C6:C29^2))</f>
        <v>9.273618495</v>
      </c>
      <c r="D32" s="82">
        <f t="shared" si="15"/>
        <v>7.681145748</v>
      </c>
      <c r="E32" s="82">
        <f t="shared" si="15"/>
        <v>15.77973384</v>
      </c>
      <c r="F32" s="82">
        <f t="shared" si="15"/>
        <v>14.49137675</v>
      </c>
      <c r="G32" s="82">
        <f t="shared" si="15"/>
        <v>20.97617696</v>
      </c>
      <c r="P32" s="36" t="s">
        <v>309</v>
      </c>
      <c r="Q32" s="82">
        <f>MIN(Q6:Q29)</f>
        <v>0.02156655464</v>
      </c>
      <c r="R32" s="82">
        <f>MAX(R6:R29)</f>
        <v>0.05858500994</v>
      </c>
      <c r="S32" s="82">
        <f t="shared" ref="S32:T32" si="16">MIN(S6:S29)</f>
        <v>0.01267448501</v>
      </c>
      <c r="T32" s="82">
        <f t="shared" si="16"/>
        <v>0.01725163898</v>
      </c>
      <c r="U32" s="82">
        <f>MAX(U6:U29)</f>
        <v>0.07150969419</v>
      </c>
    </row>
  </sheetData>
  <mergeCells count="6">
    <mergeCell ref="B2:G3"/>
    <mergeCell ref="I2:N3"/>
    <mergeCell ref="P2:U3"/>
    <mergeCell ref="W2:Y3"/>
    <mergeCell ref="AA2:AB3"/>
    <mergeCell ref="AE8:AF8"/>
  </mergeCells>
  <hyperlinks>
    <hyperlink r:id="rId1" location="Tabel%20TKPI" ref="B4"/>
    <hyperlink r:id="rId2" location="Tabel%20TKPI" ref="C4"/>
    <hyperlink r:id="rId3" location="Tabel%20TKPI" ref="D4"/>
    <hyperlink r:id="rId4" location="Tabel%20TKPI" ref="E4"/>
    <hyperlink r:id="rId5" location="Tabel%20TKPI" ref="F4"/>
    <hyperlink r:id="rId6" location="Tabel%20TKPI" ref="G4"/>
    <hyperlink r:id="rId7" location="Tabel%20TKPI" ref="I4"/>
    <hyperlink r:id="rId8" location="Tabel%20TKPI" ref="J4"/>
    <hyperlink r:id="rId9" location="Tabel%20TKPI" ref="K4"/>
    <hyperlink r:id="rId10" location="Tabel%20TKPI" ref="L4"/>
    <hyperlink r:id="rId11" location="Tabel%20TKPI" ref="M4"/>
    <hyperlink r:id="rId12" location="Tabel%20TKPI" ref="N4"/>
    <hyperlink r:id="rId13" location="Tabel%20TKPI" ref="P4"/>
    <hyperlink r:id="rId14" location="Tabel%20TKPI" ref="Q4"/>
    <hyperlink r:id="rId15" location="Tabel%20TKPI" ref="R4"/>
    <hyperlink r:id="rId16" location="Tabel%20TKPI" ref="S4"/>
    <hyperlink r:id="rId17" location="Tabel%20TKPI" ref="T4"/>
    <hyperlink r:id="rId18" location="Tabel%20TKPI" ref="U4"/>
    <hyperlink r:id="rId19" location="Tabel%20TKPI" ref="W4"/>
    <hyperlink r:id="rId20" location="Tabel%20TKPI" ref="AA4"/>
    <hyperlink r:id="rId21" location="AndraFarm" ref="B6"/>
    <hyperlink r:id="rId22" location="AndraFarm" ref="I6"/>
    <hyperlink r:id="rId23" location="AndraFarm" ref="P6"/>
    <hyperlink r:id="rId24" location="AndraFarm" ref="W6"/>
    <hyperlink r:id="rId25" location="AndraFarm" ref="AA6"/>
    <hyperlink r:id="rId26" location="AndraFarm" ref="B7"/>
    <hyperlink r:id="rId27" location="AndraFarm" ref="I7"/>
    <hyperlink r:id="rId28" location="AndraFarm" ref="P7"/>
    <hyperlink r:id="rId29" location="AndraFarm" ref="W7"/>
    <hyperlink r:id="rId30" location="AndraFarm" ref="AA7"/>
    <hyperlink r:id="rId31" location="AndraFarm" ref="B8"/>
    <hyperlink r:id="rId32" location="AndraFarm" ref="I8"/>
    <hyperlink r:id="rId33" location="AndraFarm" ref="P8"/>
    <hyperlink r:id="rId34" location="AndraFarm" ref="W8"/>
    <hyperlink r:id="rId35" location="AndraFarm" ref="AA8"/>
    <hyperlink r:id="rId36" location="AndraFarm" ref="B9"/>
    <hyperlink r:id="rId37" location="AndraFarm" ref="I9"/>
    <hyperlink r:id="rId38" location="AndraFarm" ref="P9"/>
    <hyperlink r:id="rId39" location="AndraFarm" ref="W9"/>
    <hyperlink r:id="rId40" location="AndraFarm" ref="AA9"/>
    <hyperlink r:id="rId41" location="AndraFarm" ref="B10"/>
    <hyperlink r:id="rId42" location="AndraFarm" ref="I10"/>
    <hyperlink r:id="rId43" location="AndraFarm" ref="P10"/>
    <hyperlink r:id="rId44" location="AndraFarm" ref="W10"/>
    <hyperlink r:id="rId45" location="AndraFarm" ref="AA10"/>
    <hyperlink r:id="rId46" location="AndraFarm" ref="AE10"/>
    <hyperlink r:id="rId47" location="AndraFarm" ref="B11"/>
    <hyperlink r:id="rId48" location="AndraFarm" ref="I11"/>
    <hyperlink r:id="rId49" location="AndraFarm" ref="P11"/>
    <hyperlink r:id="rId50" location="AndraFarm" ref="W11"/>
    <hyperlink r:id="rId51" location="AndraFarm" ref="AA11"/>
    <hyperlink r:id="rId52" location="AndraFarm" ref="AE11"/>
    <hyperlink r:id="rId53" location="AndraFarm" ref="B12"/>
    <hyperlink r:id="rId54" location="AndraFarm" ref="I12"/>
    <hyperlink r:id="rId55" location="AndraFarm" ref="P12"/>
    <hyperlink r:id="rId56" location="AndraFarm" ref="W12"/>
    <hyperlink r:id="rId57" location="AndraFarm" ref="AA12"/>
    <hyperlink r:id="rId58" location="AndraFarm" ref="AE12"/>
    <hyperlink r:id="rId59" location="AndraFarm" ref="B13"/>
    <hyperlink r:id="rId60" location="AndraFarm" ref="I13"/>
    <hyperlink r:id="rId61" location="AndraFarm" ref="P13"/>
    <hyperlink r:id="rId62" location="AndraFarm" ref="W13"/>
    <hyperlink r:id="rId63" location="AndraFarm" ref="AA13"/>
    <hyperlink r:id="rId64" location="AndraFarm" ref="AE13"/>
    <hyperlink r:id="rId65" location="AndraFarm" ref="B14"/>
    <hyperlink r:id="rId66" location="AndraFarm" ref="I14"/>
    <hyperlink r:id="rId67" location="AndraFarm" ref="P14"/>
    <hyperlink r:id="rId68" location="AndraFarm" ref="W14"/>
    <hyperlink r:id="rId69" location="AndraFarm" ref="AA14"/>
    <hyperlink r:id="rId70" location="AndraFarm" ref="B15"/>
    <hyperlink r:id="rId71" location="AndraFarm" ref="I15"/>
    <hyperlink r:id="rId72" location="AndraFarm" ref="P15"/>
    <hyperlink r:id="rId73" location="AndraFarm" ref="W15"/>
    <hyperlink r:id="rId74" location="AndraFarm" ref="AA15"/>
    <hyperlink r:id="rId75" location="AndraFarm" ref="B16"/>
    <hyperlink r:id="rId76" location="AndraFarm" ref="I16"/>
    <hyperlink r:id="rId77" location="AndraFarm" ref="P16"/>
    <hyperlink r:id="rId78" location="AndraFarm" ref="W16"/>
    <hyperlink r:id="rId79" location="AndraFarm" ref="AA16"/>
    <hyperlink r:id="rId80" location="AndraFarm" ref="B17"/>
    <hyperlink r:id="rId81" location="AndraFarm" ref="I17"/>
    <hyperlink r:id="rId82" location="AndraFarm" ref="P17"/>
    <hyperlink r:id="rId83" location="AndraFarm" ref="W17"/>
    <hyperlink r:id="rId84" location="AndraFarm" ref="AA17"/>
    <hyperlink r:id="rId85" location="AndraFarm" ref="B18"/>
    <hyperlink r:id="rId86" location="AndraFarm" ref="I18"/>
    <hyperlink r:id="rId87" location="AndraFarm" ref="P18"/>
    <hyperlink r:id="rId88" location="AndraFarm" ref="W18"/>
    <hyperlink r:id="rId89" location="AndraFarm" ref="AA18"/>
    <hyperlink r:id="rId90" location="AndraFarm" ref="B19"/>
    <hyperlink r:id="rId91" location="AndraFarm" ref="I19"/>
    <hyperlink r:id="rId92" location="AndraFarm" ref="P19"/>
    <hyperlink r:id="rId93" location="AndraFarm" ref="W19"/>
    <hyperlink r:id="rId94" location="AndraFarm" ref="AA19"/>
    <hyperlink r:id="rId95" location="AndraFarm" ref="B20"/>
    <hyperlink r:id="rId96" location="AndraFarm" ref="I20"/>
    <hyperlink r:id="rId97" location="AndraFarm" ref="P20"/>
    <hyperlink r:id="rId98" location="AndraFarm" ref="W20"/>
    <hyperlink r:id="rId99" location="AndraFarm" ref="AA20"/>
    <hyperlink r:id="rId100" location="AndraFarm" ref="B21"/>
    <hyperlink r:id="rId101" location="AndraFarm" ref="I21"/>
    <hyperlink r:id="rId102" location="AndraFarm" ref="P21"/>
    <hyperlink r:id="rId103" location="AndraFarm" ref="W21"/>
    <hyperlink r:id="rId104" location="AndraFarm" ref="AA21"/>
    <hyperlink r:id="rId105" location="AndraFarm" ref="B22"/>
    <hyperlink r:id="rId106" location="AndraFarm" ref="I22"/>
    <hyperlink r:id="rId107" location="AndraFarm" ref="P22"/>
    <hyperlink r:id="rId108" location="AndraFarm" ref="W22"/>
    <hyperlink r:id="rId109" location="AndraFarm" ref="AA22"/>
    <hyperlink r:id="rId110" location="AndraFarm" ref="B23"/>
    <hyperlink r:id="rId111" location="AndraFarm" ref="I23"/>
    <hyperlink r:id="rId112" location="AndraFarm" ref="P23"/>
    <hyperlink r:id="rId113" location="AndraFarm" ref="W23"/>
    <hyperlink r:id="rId114" location="AndraFarm" ref="AA23"/>
    <hyperlink r:id="rId115" location="AndraFarm" ref="B24"/>
    <hyperlink r:id="rId116" location="AndraFarm" ref="I24"/>
    <hyperlink r:id="rId117" location="AndraFarm" ref="P24"/>
    <hyperlink r:id="rId118" location="AndraFarm" ref="W24"/>
    <hyperlink r:id="rId119" location="AndraFarm" ref="AA24"/>
    <hyperlink r:id="rId120" location="AndraFarm" ref="B25"/>
    <hyperlink r:id="rId121" location="AndraFarm" ref="I25"/>
    <hyperlink r:id="rId122" location="AndraFarm" ref="P25"/>
    <hyperlink r:id="rId123" location="AndraFarm" ref="W25"/>
    <hyperlink r:id="rId124" location="AndraFarm" ref="AA25"/>
    <hyperlink r:id="rId125" location="AndraFarm" ref="B26"/>
    <hyperlink r:id="rId126" location="AndraFarm" ref="I26"/>
    <hyperlink r:id="rId127" location="AndraFarm" ref="P26"/>
    <hyperlink r:id="rId128" location="AndraFarm" ref="W26"/>
    <hyperlink r:id="rId129" location="AndraFarm" ref="AA26"/>
    <hyperlink r:id="rId130" location="AndraFarm" ref="B27"/>
    <hyperlink r:id="rId131" location="AndraFarm" ref="I27"/>
    <hyperlink r:id="rId132" location="AndraFarm" ref="P27"/>
    <hyperlink r:id="rId133" location="AndraFarm" ref="W27"/>
    <hyperlink r:id="rId134" location="AndraFarm" ref="AA27"/>
    <hyperlink r:id="rId135" location="AndraFarm" ref="B28"/>
    <hyperlink r:id="rId136" location="AndraFarm" ref="I28"/>
    <hyperlink r:id="rId137" location="AndraFarm" ref="P28"/>
    <hyperlink r:id="rId138" location="AndraFarm" ref="W28"/>
    <hyperlink r:id="rId139" location="AndraFarm" ref="AA28"/>
    <hyperlink r:id="rId140" location="AndraFarm" ref="B29"/>
    <hyperlink r:id="rId141" location="AndraFarm" ref="I29"/>
    <hyperlink r:id="rId142" location="AndraFarm" ref="P29"/>
    <hyperlink r:id="rId143" location="AndraFarm" ref="W29"/>
    <hyperlink r:id="rId144" location="AndraFarm" ref="AA29"/>
  </hyperlinks>
  <drawing r:id="rId14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1" max="31" width="20.38"/>
  </cols>
  <sheetData>
    <row r="2">
      <c r="B2" s="49" t="s">
        <v>168</v>
      </c>
      <c r="I2" s="49" t="s">
        <v>169</v>
      </c>
      <c r="P2" s="50" t="s">
        <v>170</v>
      </c>
      <c r="V2" s="50"/>
      <c r="W2" s="49" t="s">
        <v>171</v>
      </c>
      <c r="Z2" s="49"/>
      <c r="AA2" s="50" t="s">
        <v>172</v>
      </c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</row>
    <row r="3">
      <c r="V3" s="50"/>
      <c r="Z3" s="49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</row>
    <row r="4">
      <c r="B4" s="51" t="s">
        <v>310</v>
      </c>
      <c r="C4" s="52" t="s">
        <v>2</v>
      </c>
      <c r="D4" s="53" t="s">
        <v>1</v>
      </c>
      <c r="E4" s="52" t="s">
        <v>0</v>
      </c>
      <c r="F4" s="52" t="s">
        <v>3</v>
      </c>
      <c r="G4" s="53" t="s">
        <v>4</v>
      </c>
      <c r="I4" s="51" t="s">
        <v>311</v>
      </c>
      <c r="J4" s="52" t="s">
        <v>2</v>
      </c>
      <c r="K4" s="53" t="s">
        <v>1</v>
      </c>
      <c r="L4" s="52" t="s">
        <v>0</v>
      </c>
      <c r="M4" s="52" t="s">
        <v>3</v>
      </c>
      <c r="N4" s="53" t="s">
        <v>4</v>
      </c>
      <c r="P4" s="54" t="s">
        <v>312</v>
      </c>
      <c r="Q4" s="83" t="s">
        <v>313</v>
      </c>
      <c r="R4" s="84" t="s">
        <v>314</v>
      </c>
      <c r="S4" s="83" t="s">
        <v>315</v>
      </c>
      <c r="T4" s="83" t="s">
        <v>316</v>
      </c>
      <c r="U4" s="84" t="s">
        <v>317</v>
      </c>
      <c r="V4" s="57"/>
      <c r="W4" s="51" t="s">
        <v>318</v>
      </c>
      <c r="X4" s="58" t="s">
        <v>182</v>
      </c>
      <c r="Y4" s="59" t="s">
        <v>183</v>
      </c>
      <c r="Z4" s="60"/>
      <c r="AA4" s="54" t="s">
        <v>319</v>
      </c>
      <c r="AB4" s="61" t="s">
        <v>185</v>
      </c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</row>
    <row r="5">
      <c r="B5" s="36"/>
      <c r="C5" s="17" t="s">
        <v>38</v>
      </c>
      <c r="D5" s="17" t="s">
        <v>38</v>
      </c>
      <c r="E5" s="17" t="s">
        <v>38</v>
      </c>
      <c r="F5" s="17" t="s">
        <v>38</v>
      </c>
      <c r="G5" s="17" t="s">
        <v>39</v>
      </c>
      <c r="I5" s="36"/>
      <c r="J5" s="17" t="s">
        <v>38</v>
      </c>
      <c r="K5" s="17" t="s">
        <v>38</v>
      </c>
      <c r="L5" s="17" t="s">
        <v>38</v>
      </c>
      <c r="M5" s="17" t="s">
        <v>38</v>
      </c>
      <c r="N5" s="17" t="s">
        <v>39</v>
      </c>
      <c r="P5" s="62"/>
      <c r="Q5" s="63" t="s">
        <v>38</v>
      </c>
      <c r="R5" s="63" t="s">
        <v>38</v>
      </c>
      <c r="S5" s="63" t="s">
        <v>38</v>
      </c>
      <c r="T5" s="64" t="s">
        <v>38</v>
      </c>
      <c r="U5" s="63" t="s">
        <v>39</v>
      </c>
      <c r="V5" s="65"/>
      <c r="X5" s="66"/>
      <c r="Y5" s="67"/>
      <c r="Z5" s="68"/>
      <c r="AA5" s="62"/>
      <c r="AB5" s="69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</row>
    <row r="6">
      <c r="B6" s="37" t="s">
        <v>320</v>
      </c>
      <c r="C6" s="29">
        <f>IFS('data raw'!E7&lt;=1, 1, 'data raw'!E7&lt;=25, 2, 'data raw'!E7&lt;=50, 3, 'data raw'!E7&lt;=75, 4, TRUE, 5)</f>
        <v>2</v>
      </c>
      <c r="D6" s="29">
        <f>IFS('data raw'!F7&lt;=1, 1, 'data raw'!F7&lt;=25, 2, 'data raw'!F7&lt;=50, 3, 'data raw'!F7&lt;=75, 4, TRUE, 5)</f>
        <v>1</v>
      </c>
      <c r="E6" s="29">
        <f>IFS('data raw'!G7&lt;=1, 1, 'data raw'!G7&lt;=25, 2, 'data raw'!G7&lt;=50, 3, 'data raw'!G7&lt;=75, 4, TRUE, 5)</f>
        <v>3</v>
      </c>
      <c r="F6" s="29">
        <f>IFS('data raw'!H7&lt;=1, 1, 'data raw'!H7&lt;=3, 2, 'data raw'!H7&lt;=5, 3, 'data raw'!H7&lt;=7, 4, TRUE, 5)</f>
        <v>1</v>
      </c>
      <c r="G6" s="29">
        <f>IFS('data raw'!M7&lt;=100, 5, 'data raw'!M7&lt;=200, 4, 'data raw'!M7&lt;=350, 3, 'data raw'!M7&lt;=500, 2, TRUE, 1)</f>
        <v>5</v>
      </c>
      <c r="I6" s="37" t="s">
        <v>321</v>
      </c>
      <c r="J6" s="29">
        <f t="shared" ref="J6:J29" si="1">C6/$C$32</f>
        <v>0.2156655464</v>
      </c>
      <c r="K6" s="29">
        <f t="shared" ref="K6:K29" si="2">D6/$D$32</f>
        <v>0.130188911</v>
      </c>
      <c r="L6" s="29">
        <f t="shared" ref="L6:L29" si="3">E6/$E$32</f>
        <v>0.1901172752</v>
      </c>
      <c r="M6" s="29">
        <f t="shared" ref="M6:M29" si="4">F6/$F$32</f>
        <v>0.06900655593</v>
      </c>
      <c r="N6" s="29">
        <f t="shared" ref="N6:N29" si="5">G6/$G$32</f>
        <v>0.2383656473</v>
      </c>
      <c r="P6" s="70" t="s">
        <v>322</v>
      </c>
      <c r="Q6" s="71">
        <f t="shared" ref="Q6:Q29" si="6">J6*0.05</f>
        <v>0.01078327732</v>
      </c>
      <c r="R6" s="71">
        <f t="shared" ref="R6:R29" si="7">K6*0.25</f>
        <v>0.03254722775</v>
      </c>
      <c r="S6" s="71">
        <f t="shared" ref="S6:S29" si="8">L6*0.2</f>
        <v>0.03802345503</v>
      </c>
      <c r="T6" s="71">
        <f t="shared" ref="T6:T29" si="9">M6*0.1</f>
        <v>0.006900655593</v>
      </c>
      <c r="U6" s="71">
        <f t="shared" ref="U6:U29" si="10">N6*0.4</f>
        <v>0.09534625892</v>
      </c>
      <c r="V6" s="72"/>
      <c r="W6" s="37" t="s">
        <v>323</v>
      </c>
      <c r="X6" s="29">
        <f t="shared" ref="X6:X29" si="11">SQRT(SUMPRODUCT((Q6:U6 - Q$31:U$31)^2))</f>
        <v>0.0810915148</v>
      </c>
      <c r="Y6" s="73">
        <f t="shared" ref="Y6:Y29" si="12">SQRT(SUMPRODUCT((Q6:U6 - Q$32:U$32)^2))</f>
        <v>0.06653570826</v>
      </c>
      <c r="Z6" s="68"/>
      <c r="AA6" s="70" t="s">
        <v>324</v>
      </c>
      <c r="AB6" s="74">
        <f t="shared" ref="AB6:AB29" si="13">Y6 / (X6 + Y6)</f>
        <v>0.4507008049</v>
      </c>
      <c r="AC6" s="65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</row>
    <row r="7">
      <c r="B7" s="38" t="s">
        <v>325</v>
      </c>
      <c r="C7" s="29">
        <f>IFS('data raw'!E8&lt;=1, 1, 'data raw'!E8&lt;=25, 2, 'data raw'!E8&lt;=50, 3, 'data raw'!E8&lt;=75, 4, TRUE, 5)</f>
        <v>2</v>
      </c>
      <c r="D7" s="29">
        <f>IFS('data raw'!F8&lt;=1, 1, 'data raw'!F8&lt;=25, 2, 'data raw'!F8&lt;=50, 3, 'data raw'!F8&lt;=75, 4, TRUE, 5)</f>
        <v>2</v>
      </c>
      <c r="E7" s="29">
        <f>IFS('data raw'!G8&lt;=1, 1, 'data raw'!G8&lt;=25, 2, 'data raw'!G8&lt;=50, 3, 'data raw'!G8&lt;=75, 4, TRUE, 5)</f>
        <v>5</v>
      </c>
      <c r="F7" s="29">
        <f>IFS('data raw'!H8&lt;=1, 1, 'data raw'!H8&lt;=3, 2, 'data raw'!H8&lt;=5, 3, 'data raw'!H8&lt;=7, 4, TRUE, 5)</f>
        <v>2</v>
      </c>
      <c r="G7" s="29">
        <f>IFS('data raw'!M8&lt;=100, 5, 'data raw'!M8&lt;=200, 4, 'data raw'!M8&lt;=350, 3, 'data raw'!M8&lt;=500, 2, TRUE, 1)</f>
        <v>3</v>
      </c>
      <c r="I7" s="38" t="s">
        <v>326</v>
      </c>
      <c r="J7" s="29">
        <f t="shared" si="1"/>
        <v>0.2156655464</v>
      </c>
      <c r="K7" s="29">
        <f t="shared" si="2"/>
        <v>0.260377822</v>
      </c>
      <c r="L7" s="29">
        <f t="shared" si="3"/>
        <v>0.3168621253</v>
      </c>
      <c r="M7" s="29">
        <f t="shared" si="4"/>
        <v>0.1380131119</v>
      </c>
      <c r="N7" s="29">
        <f t="shared" si="5"/>
        <v>0.1430193884</v>
      </c>
      <c r="P7" s="75" t="s">
        <v>327</v>
      </c>
      <c r="Q7" s="71">
        <f t="shared" si="6"/>
        <v>0.01078327732</v>
      </c>
      <c r="R7" s="71">
        <f t="shared" si="7"/>
        <v>0.06509445549</v>
      </c>
      <c r="S7" s="71">
        <f t="shared" si="8"/>
        <v>0.06337242505</v>
      </c>
      <c r="T7" s="71">
        <f t="shared" si="9"/>
        <v>0.01380131119</v>
      </c>
      <c r="U7" s="71">
        <f t="shared" si="10"/>
        <v>0.05720775535</v>
      </c>
      <c r="V7" s="72"/>
      <c r="W7" s="38" t="s">
        <v>328</v>
      </c>
      <c r="X7" s="29">
        <f t="shared" si="11"/>
        <v>0.05048337603</v>
      </c>
      <c r="Y7" s="73">
        <f t="shared" si="12"/>
        <v>0.06353219212</v>
      </c>
      <c r="Z7" s="68"/>
      <c r="AA7" s="75" t="s">
        <v>329</v>
      </c>
      <c r="AB7" s="74">
        <f t="shared" si="13"/>
        <v>0.5572238349</v>
      </c>
      <c r="AC7" s="65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</row>
    <row r="8">
      <c r="B8" s="39" t="s">
        <v>330</v>
      </c>
      <c r="C8" s="29">
        <f>IFS('data raw'!E9&lt;=1, 1, 'data raw'!E9&lt;=25, 2, 'data raw'!E9&lt;=50, 3, 'data raw'!E9&lt;=75, 4, TRUE, 5)</f>
        <v>2</v>
      </c>
      <c r="D8" s="29">
        <f>IFS('data raw'!F9&lt;=1, 1, 'data raw'!F9&lt;=25, 2, 'data raw'!F9&lt;=50, 3, 'data raw'!F9&lt;=75, 4, TRUE, 5)</f>
        <v>1</v>
      </c>
      <c r="E8" s="29">
        <f>IFS('data raw'!G9&lt;=1, 1, 'data raw'!G9&lt;=25, 2, 'data raw'!G9&lt;=50, 3, 'data raw'!G9&lt;=75, 4, TRUE, 5)</f>
        <v>2</v>
      </c>
      <c r="F8" s="29">
        <f>IFS('data raw'!H9&lt;=1, 1, 'data raw'!H9&lt;=3, 2, 'data raw'!H9&lt;=5, 3, 'data raw'!H9&lt;=7, 4, TRUE, 5)</f>
        <v>5</v>
      </c>
      <c r="G8" s="29">
        <f>IFS('data raw'!M9&lt;=100, 5, 'data raw'!M9&lt;=200, 4, 'data raw'!M9&lt;=350, 3, 'data raw'!M9&lt;=500, 2, TRUE, 1)</f>
        <v>2</v>
      </c>
      <c r="I8" s="39" t="s">
        <v>331</v>
      </c>
      <c r="J8" s="29">
        <f t="shared" si="1"/>
        <v>0.2156655464</v>
      </c>
      <c r="K8" s="29">
        <f t="shared" si="2"/>
        <v>0.130188911</v>
      </c>
      <c r="L8" s="29">
        <f t="shared" si="3"/>
        <v>0.1267448501</v>
      </c>
      <c r="M8" s="29">
        <f t="shared" si="4"/>
        <v>0.3450327797</v>
      </c>
      <c r="N8" s="29">
        <f t="shared" si="5"/>
        <v>0.09534625892</v>
      </c>
      <c r="P8" s="76" t="s">
        <v>332</v>
      </c>
      <c r="Q8" s="71">
        <f t="shared" si="6"/>
        <v>0.01078327732</v>
      </c>
      <c r="R8" s="71">
        <f t="shared" si="7"/>
        <v>0.03254722775</v>
      </c>
      <c r="S8" s="71">
        <f t="shared" si="8"/>
        <v>0.02534897002</v>
      </c>
      <c r="T8" s="71">
        <f t="shared" si="9"/>
        <v>0.03450327797</v>
      </c>
      <c r="U8" s="71">
        <f t="shared" si="10"/>
        <v>0.03813850357</v>
      </c>
      <c r="V8" s="72"/>
      <c r="W8" s="39" t="s">
        <v>333</v>
      </c>
      <c r="X8" s="29">
        <f t="shared" si="11"/>
        <v>0.0466306564</v>
      </c>
      <c r="Y8" s="73">
        <f t="shared" si="12"/>
        <v>0.09110976862</v>
      </c>
      <c r="Z8" s="68"/>
      <c r="AA8" s="76" t="s">
        <v>334</v>
      </c>
      <c r="AB8" s="74">
        <f t="shared" si="13"/>
        <v>0.6614599062</v>
      </c>
      <c r="AC8" s="65"/>
      <c r="AD8" s="72"/>
      <c r="AE8" s="61" t="s">
        <v>201</v>
      </c>
      <c r="AF8" s="77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</row>
    <row r="9">
      <c r="B9" s="38" t="s">
        <v>335</v>
      </c>
      <c r="C9" s="29">
        <f>IFS('data raw'!E10&lt;=1, 1, 'data raw'!E10&lt;=25, 2, 'data raw'!E10&lt;=50, 3, 'data raw'!E10&lt;=75, 4, TRUE, 5)</f>
        <v>2</v>
      </c>
      <c r="D9" s="29">
        <f>IFS('data raw'!F10&lt;=1, 1, 'data raw'!F10&lt;=25, 2, 'data raw'!F10&lt;=50, 3, 'data raw'!F10&lt;=75, 4, TRUE, 5)</f>
        <v>2</v>
      </c>
      <c r="E9" s="29">
        <f>IFS('data raw'!G10&lt;=1, 1, 'data raw'!G10&lt;=25, 2, 'data raw'!G10&lt;=50, 3, 'data raw'!G10&lt;=75, 4, TRUE, 5)</f>
        <v>2</v>
      </c>
      <c r="F9" s="29">
        <f>IFS('data raw'!H10&lt;=1, 1, 'data raw'!H10&lt;=3, 2, 'data raw'!H10&lt;=5, 3, 'data raw'!H10&lt;=7, 4, TRUE, 5)</f>
        <v>1</v>
      </c>
      <c r="G9" s="29">
        <f>IFS('data raw'!M10&lt;=100, 5, 'data raw'!M10&lt;=200, 4, 'data raw'!M10&lt;=350, 3, 'data raw'!M10&lt;=500, 2, TRUE, 1)</f>
        <v>1</v>
      </c>
      <c r="I9" s="38" t="s">
        <v>336</v>
      </c>
      <c r="J9" s="29">
        <f t="shared" si="1"/>
        <v>0.2156655464</v>
      </c>
      <c r="K9" s="29">
        <f t="shared" si="2"/>
        <v>0.260377822</v>
      </c>
      <c r="L9" s="29">
        <f t="shared" si="3"/>
        <v>0.1267448501</v>
      </c>
      <c r="M9" s="29">
        <f t="shared" si="4"/>
        <v>0.06900655593</v>
      </c>
      <c r="N9" s="29">
        <f t="shared" si="5"/>
        <v>0.04767312946</v>
      </c>
      <c r="P9" s="75" t="s">
        <v>337</v>
      </c>
      <c r="Q9" s="71">
        <f t="shared" si="6"/>
        <v>0.01078327732</v>
      </c>
      <c r="R9" s="71">
        <f t="shared" si="7"/>
        <v>0.06509445549</v>
      </c>
      <c r="S9" s="71">
        <f t="shared" si="8"/>
        <v>0.02534897002</v>
      </c>
      <c r="T9" s="71">
        <f t="shared" si="9"/>
        <v>0.006900655593</v>
      </c>
      <c r="U9" s="71">
        <f t="shared" si="10"/>
        <v>0.01906925178</v>
      </c>
      <c r="V9" s="72"/>
      <c r="W9" s="38" t="s">
        <v>338</v>
      </c>
      <c r="X9" s="29">
        <f t="shared" si="11"/>
        <v>0.05118776064</v>
      </c>
      <c r="Y9" s="73">
        <f t="shared" si="12"/>
        <v>0.08310579775</v>
      </c>
      <c r="Z9" s="68"/>
      <c r="AA9" s="75" t="s">
        <v>339</v>
      </c>
      <c r="AB9" s="74">
        <f t="shared" si="13"/>
        <v>0.6188368135</v>
      </c>
      <c r="AC9" s="65"/>
      <c r="AD9" s="72"/>
      <c r="AE9" s="78" t="str">
        <f>IFERROR(__xludf.DUMMYFUNCTION("SORTN(AA6:AB29, 5, 0, AB6:AB29, FALSE)"),"Keripik kentang")</f>
        <v>Keripik kentang</v>
      </c>
      <c r="AF9" s="72">
        <f>IFERROR(__xludf.DUMMYFUNCTION("""COMPUTED_VALUE"""),0.7117407521496113)</f>
        <v>0.7117407521</v>
      </c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</row>
    <row r="10">
      <c r="A10" s="22"/>
      <c r="B10" s="40" t="s">
        <v>340</v>
      </c>
      <c r="C10" s="29">
        <f>IFS('data raw'!E11&lt;=1, 1, 'data raw'!E11&lt;=25, 2, 'data raw'!E11&lt;=50, 3, 'data raw'!E11&lt;=75, 4, TRUE, 5)</f>
        <v>2</v>
      </c>
      <c r="D10" s="29">
        <f>IFS('data raw'!F11&lt;=1, 1, 'data raw'!F11&lt;=25, 2, 'data raw'!F11&lt;=50, 3, 'data raw'!F11&lt;=75, 4, TRUE, 5)</f>
        <v>2</v>
      </c>
      <c r="E10" s="29">
        <f>IFS('data raw'!G11&lt;=1, 1, 'data raw'!G11&lt;=25, 2, 'data raw'!G11&lt;=50, 3, 'data raw'!G11&lt;=75, 4, TRUE, 5)</f>
        <v>5</v>
      </c>
      <c r="F10" s="29">
        <f>IFS('data raw'!H11&lt;=1, 1, 'data raw'!H11&lt;=3, 2, 'data raw'!H11&lt;=5, 3, 'data raw'!H11&lt;=7, 4, TRUE, 5)</f>
        <v>1</v>
      </c>
      <c r="G10" s="29">
        <f>IFS('data raw'!M11&lt;=100, 5, 'data raw'!M11&lt;=200, 4, 'data raw'!M11&lt;=350, 3, 'data raw'!M11&lt;=500, 2, TRUE, 1)</f>
        <v>5</v>
      </c>
      <c r="H10" s="22"/>
      <c r="I10" s="40" t="s">
        <v>341</v>
      </c>
      <c r="J10" s="29">
        <f t="shared" si="1"/>
        <v>0.2156655464</v>
      </c>
      <c r="K10" s="29">
        <f t="shared" si="2"/>
        <v>0.260377822</v>
      </c>
      <c r="L10" s="29">
        <f t="shared" si="3"/>
        <v>0.3168621253</v>
      </c>
      <c r="M10" s="29">
        <f t="shared" si="4"/>
        <v>0.06900655593</v>
      </c>
      <c r="N10" s="29">
        <f t="shared" si="5"/>
        <v>0.2383656473</v>
      </c>
      <c r="O10" s="22"/>
      <c r="P10" s="79" t="s">
        <v>342</v>
      </c>
      <c r="Q10" s="71">
        <f t="shared" si="6"/>
        <v>0.01078327732</v>
      </c>
      <c r="R10" s="71">
        <f t="shared" si="7"/>
        <v>0.06509445549</v>
      </c>
      <c r="S10" s="71">
        <f t="shared" si="8"/>
        <v>0.06337242505</v>
      </c>
      <c r="T10" s="71">
        <f t="shared" si="9"/>
        <v>0.006900655593</v>
      </c>
      <c r="U10" s="71">
        <f t="shared" si="10"/>
        <v>0.09534625892</v>
      </c>
      <c r="V10" s="72"/>
      <c r="W10" s="40" t="s">
        <v>343</v>
      </c>
      <c r="X10" s="29">
        <f t="shared" si="11"/>
        <v>0.08362168095</v>
      </c>
      <c r="Y10" s="73">
        <f t="shared" si="12"/>
        <v>0.05034058933</v>
      </c>
      <c r="Z10" s="68"/>
      <c r="AA10" s="79" t="s">
        <v>344</v>
      </c>
      <c r="AB10" s="74">
        <f t="shared" si="13"/>
        <v>0.3757818468</v>
      </c>
      <c r="AC10" s="65"/>
      <c r="AD10" s="72"/>
      <c r="AE10" s="78" t="str">
        <f>IFERROR(__xludf.DUMMYFUNCTION("""COMPUTED_VALUE"""),"Kerupuk cumi goreng")</f>
        <v>Kerupuk cumi goreng</v>
      </c>
      <c r="AF10" s="72">
        <f>IFERROR(__xludf.DUMMYFUNCTION("""COMPUTED_VALUE"""),0.7117407521496113)</f>
        <v>0.7117407521</v>
      </c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</row>
    <row r="11">
      <c r="A11" s="22"/>
      <c r="B11" s="41" t="s">
        <v>345</v>
      </c>
      <c r="C11" s="29">
        <f>IFS('data raw'!E12&lt;=1, 1, 'data raw'!E12&lt;=25, 2, 'data raw'!E12&lt;=50, 3, 'data raw'!E12&lt;=75, 4, TRUE, 5)</f>
        <v>2</v>
      </c>
      <c r="D11" s="29">
        <f>IFS('data raw'!F12&lt;=1, 1, 'data raw'!F12&lt;=25, 2, 'data raw'!F12&lt;=50, 3, 'data raw'!F12&lt;=75, 4, TRUE, 5)</f>
        <v>1</v>
      </c>
      <c r="E11" s="29">
        <f>IFS('data raw'!G12&lt;=1, 1, 'data raw'!G12&lt;=25, 2, 'data raw'!G12&lt;=50, 3, 'data raw'!G12&lt;=75, 4, TRUE, 5)</f>
        <v>5</v>
      </c>
      <c r="F11" s="29">
        <f>IFS('data raw'!H12&lt;=1, 1, 'data raw'!H12&lt;=3, 2, 'data raw'!H12&lt;=5, 3, 'data raw'!H12&lt;=7, 4, TRUE, 5)</f>
        <v>5</v>
      </c>
      <c r="G11" s="29">
        <f>IFS('data raw'!M12&lt;=100, 5, 'data raw'!M12&lt;=200, 4, 'data raw'!M12&lt;=350, 3, 'data raw'!M12&lt;=500, 2, TRUE, 1)</f>
        <v>5</v>
      </c>
      <c r="H11" s="22"/>
      <c r="I11" s="41" t="s">
        <v>346</v>
      </c>
      <c r="J11" s="29">
        <f t="shared" si="1"/>
        <v>0.2156655464</v>
      </c>
      <c r="K11" s="29">
        <f t="shared" si="2"/>
        <v>0.130188911</v>
      </c>
      <c r="L11" s="29">
        <f t="shared" si="3"/>
        <v>0.3168621253</v>
      </c>
      <c r="M11" s="29">
        <f t="shared" si="4"/>
        <v>0.3450327797</v>
      </c>
      <c r="N11" s="29">
        <f t="shared" si="5"/>
        <v>0.2383656473</v>
      </c>
      <c r="O11" s="22"/>
      <c r="P11" s="80" t="s">
        <v>347</v>
      </c>
      <c r="Q11" s="71">
        <f t="shared" si="6"/>
        <v>0.01078327732</v>
      </c>
      <c r="R11" s="71">
        <f t="shared" si="7"/>
        <v>0.03254722775</v>
      </c>
      <c r="S11" s="71">
        <f t="shared" si="8"/>
        <v>0.06337242505</v>
      </c>
      <c r="T11" s="71">
        <f t="shared" si="9"/>
        <v>0.03450327797</v>
      </c>
      <c r="U11" s="71">
        <f t="shared" si="10"/>
        <v>0.09534625892</v>
      </c>
      <c r="V11" s="72"/>
      <c r="W11" s="41" t="s">
        <v>348</v>
      </c>
      <c r="X11" s="29">
        <f t="shared" si="11"/>
        <v>0.07863320189</v>
      </c>
      <c r="Y11" s="73">
        <f t="shared" si="12"/>
        <v>0.08046145535</v>
      </c>
      <c r="Z11" s="68"/>
      <c r="AA11" s="80" t="s">
        <v>349</v>
      </c>
      <c r="AB11" s="74">
        <f t="shared" si="13"/>
        <v>0.5057458041</v>
      </c>
      <c r="AC11" s="65"/>
      <c r="AD11" s="72"/>
      <c r="AE11" s="78" t="str">
        <f>IFERROR(__xludf.DUMMYFUNCTION("""COMPUTED_VALUE"""),"Kacang hijau, rebus")</f>
        <v>Kacang hijau, rebus</v>
      </c>
      <c r="AF11" s="72">
        <f>IFERROR(__xludf.DUMMYFUNCTION("""COMPUTED_VALUE"""),0.6697814265658962)</f>
        <v>0.6697814266</v>
      </c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</row>
    <row r="12">
      <c r="B12" s="39" t="s">
        <v>350</v>
      </c>
      <c r="C12" s="29">
        <f>IFS('data raw'!E13&lt;=1, 1, 'data raw'!E13&lt;=25, 2, 'data raw'!E13&lt;=50, 3, 'data raw'!E13&lt;=75, 4, TRUE, 5)</f>
        <v>2</v>
      </c>
      <c r="D12" s="29">
        <f>IFS('data raw'!F13&lt;=1, 1, 'data raw'!F13&lt;=25, 2, 'data raw'!F13&lt;=50, 3, 'data raw'!F13&lt;=75, 4, TRUE, 5)</f>
        <v>2</v>
      </c>
      <c r="E12" s="29">
        <f>IFS('data raw'!G13&lt;=1, 1, 'data raw'!G13&lt;=25, 2, 'data raw'!G13&lt;=50, 3, 'data raw'!G13&lt;=75, 4, TRUE, 5)</f>
        <v>2</v>
      </c>
      <c r="F12" s="29">
        <f>IFS('data raw'!H13&lt;=1, 1, 'data raw'!H13&lt;=3, 2, 'data raw'!H13&lt;=5, 3, 'data raw'!H13&lt;=7, 4, TRUE, 5)</f>
        <v>3</v>
      </c>
      <c r="G12" s="29">
        <f>IFS('data raw'!M13&lt;=100, 5, 'data raw'!M13&lt;=200, 4, 'data raw'!M13&lt;=350, 3, 'data raw'!M13&lt;=500, 2, TRUE, 1)</f>
        <v>5</v>
      </c>
      <c r="I12" s="39" t="s">
        <v>351</v>
      </c>
      <c r="J12" s="29">
        <f t="shared" si="1"/>
        <v>0.2156655464</v>
      </c>
      <c r="K12" s="29">
        <f t="shared" si="2"/>
        <v>0.260377822</v>
      </c>
      <c r="L12" s="29">
        <f t="shared" si="3"/>
        <v>0.1267448501</v>
      </c>
      <c r="M12" s="29">
        <f t="shared" si="4"/>
        <v>0.2070196678</v>
      </c>
      <c r="N12" s="29">
        <f t="shared" si="5"/>
        <v>0.2383656473</v>
      </c>
      <c r="P12" s="76" t="s">
        <v>352</v>
      </c>
      <c r="Q12" s="71">
        <f t="shared" si="6"/>
        <v>0.01078327732</v>
      </c>
      <c r="R12" s="71">
        <f t="shared" si="7"/>
        <v>0.06509445549</v>
      </c>
      <c r="S12" s="71">
        <f t="shared" si="8"/>
        <v>0.02534897002</v>
      </c>
      <c r="T12" s="71">
        <f t="shared" si="9"/>
        <v>0.02070196678</v>
      </c>
      <c r="U12" s="71">
        <f t="shared" si="10"/>
        <v>0.09534625892</v>
      </c>
      <c r="V12" s="72"/>
      <c r="W12" s="39" t="s">
        <v>353</v>
      </c>
      <c r="X12" s="29">
        <f t="shared" si="11"/>
        <v>0.09150328377</v>
      </c>
      <c r="Y12" s="73">
        <f t="shared" si="12"/>
        <v>0.03576126385</v>
      </c>
      <c r="Z12" s="68"/>
      <c r="AA12" s="76" t="s">
        <v>354</v>
      </c>
      <c r="AB12" s="74">
        <f t="shared" si="13"/>
        <v>0.2809994183</v>
      </c>
      <c r="AC12" s="65"/>
      <c r="AD12" s="72"/>
      <c r="AE12" s="78" t="str">
        <f>IFERROR(__xludf.DUMMYFUNCTION("""COMPUTED_VALUE"""),"Bubur tinotuan (Manado)")</f>
        <v>Bubur tinotuan (Manado)</v>
      </c>
      <c r="AF12" s="72">
        <f>IFERROR(__xludf.DUMMYFUNCTION("""COMPUTED_VALUE"""),0.6614599062196438)</f>
        <v>0.6614599062</v>
      </c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</row>
    <row r="13">
      <c r="B13" s="39" t="s">
        <v>355</v>
      </c>
      <c r="C13" s="29">
        <f>IFS('data raw'!E14&lt;=1, 1, 'data raw'!E14&lt;=25, 2, 'data raw'!E14&lt;=50, 3, 'data raw'!E14&lt;=75, 4, TRUE, 5)</f>
        <v>2</v>
      </c>
      <c r="D13" s="29">
        <f>IFS('data raw'!F14&lt;=1, 1, 'data raw'!F14&lt;=25, 2, 'data raw'!F14&lt;=50, 3, 'data raw'!F14&lt;=75, 4, TRUE, 5)</f>
        <v>1</v>
      </c>
      <c r="E13" s="29">
        <f>IFS('data raw'!G14&lt;=1, 1, 'data raw'!G14&lt;=25, 2, 'data raw'!G14&lt;=50, 3, 'data raw'!G14&lt;=75, 4, TRUE, 5)</f>
        <v>2</v>
      </c>
      <c r="F13" s="29">
        <f>IFS('data raw'!H14&lt;=1, 1, 'data raw'!H14&lt;=3, 2, 'data raw'!H14&lt;=5, 3, 'data raw'!H14&lt;=7, 4, TRUE, 5)</f>
        <v>3</v>
      </c>
      <c r="G13" s="29">
        <f>IFS('data raw'!M14&lt;=100, 5, 'data raw'!M14&lt;=200, 4, 'data raw'!M14&lt;=350, 3, 'data raw'!M14&lt;=500, 2, TRUE, 1)</f>
        <v>5</v>
      </c>
      <c r="I13" s="39" t="s">
        <v>356</v>
      </c>
      <c r="J13" s="29">
        <f t="shared" si="1"/>
        <v>0.2156655464</v>
      </c>
      <c r="K13" s="29">
        <f t="shared" si="2"/>
        <v>0.130188911</v>
      </c>
      <c r="L13" s="29">
        <f t="shared" si="3"/>
        <v>0.1267448501</v>
      </c>
      <c r="M13" s="29">
        <f t="shared" si="4"/>
        <v>0.2070196678</v>
      </c>
      <c r="N13" s="29">
        <f t="shared" si="5"/>
        <v>0.2383656473</v>
      </c>
      <c r="P13" s="76" t="s">
        <v>357</v>
      </c>
      <c r="Q13" s="71">
        <f t="shared" si="6"/>
        <v>0.01078327732</v>
      </c>
      <c r="R13" s="71">
        <f t="shared" si="7"/>
        <v>0.03254722775</v>
      </c>
      <c r="S13" s="71">
        <f t="shared" si="8"/>
        <v>0.02534897002</v>
      </c>
      <c r="T13" s="71">
        <f t="shared" si="9"/>
        <v>0.02070196678</v>
      </c>
      <c r="U13" s="71">
        <f t="shared" si="10"/>
        <v>0.09534625892</v>
      </c>
      <c r="V13" s="72"/>
      <c r="W13" s="39" t="s">
        <v>358</v>
      </c>
      <c r="X13" s="29">
        <f t="shared" si="11"/>
        <v>0.08551917275</v>
      </c>
      <c r="Y13" s="73">
        <f t="shared" si="12"/>
        <v>0.06675952437</v>
      </c>
      <c r="Z13" s="68"/>
      <c r="AA13" s="76" t="s">
        <v>359</v>
      </c>
      <c r="AB13" s="74">
        <f t="shared" si="13"/>
        <v>0.4384035695</v>
      </c>
      <c r="AC13" s="65"/>
      <c r="AD13" s="72"/>
      <c r="AE13" s="78" t="str">
        <f>IFERROR(__xludf.DUMMYFUNCTION("""COMPUTED_VALUE"""),"Kerupuk udang goreng")</f>
        <v>Kerupuk udang goreng</v>
      </c>
      <c r="AF13" s="72">
        <f>IFERROR(__xludf.DUMMYFUNCTION("""COMPUTED_VALUE"""),0.6407240458606575)</f>
        <v>0.6407240459</v>
      </c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</row>
    <row r="14">
      <c r="B14" s="39" t="s">
        <v>360</v>
      </c>
      <c r="C14" s="29">
        <f>IFS('data raw'!E15&lt;=1, 1, 'data raw'!E15&lt;=25, 2, 'data raw'!E15&lt;=50, 3, 'data raw'!E15&lt;=75, 4, TRUE, 5)</f>
        <v>2</v>
      </c>
      <c r="D14" s="29">
        <f>IFS('data raw'!F15&lt;=1, 1, 'data raw'!F15&lt;=25, 2, 'data raw'!F15&lt;=50, 3, 'data raw'!F15&lt;=75, 4, TRUE, 5)</f>
        <v>1</v>
      </c>
      <c r="E14" s="29">
        <f>IFS('data raw'!G15&lt;=1, 1, 'data raw'!G15&lt;=25, 2, 'data raw'!G15&lt;=50, 3, 'data raw'!G15&lt;=75, 4, TRUE, 5)</f>
        <v>3</v>
      </c>
      <c r="F14" s="29">
        <f>IFS('data raw'!H15&lt;=1, 1, 'data raw'!H15&lt;=3, 2, 'data raw'!H15&lt;=5, 3, 'data raw'!H15&lt;=7, 4, TRUE, 5)</f>
        <v>5</v>
      </c>
      <c r="G14" s="29">
        <f>IFS('data raw'!M15&lt;=100, 5, 'data raw'!M15&lt;=200, 4, 'data raw'!M15&lt;=350, 3, 'data raw'!M15&lt;=500, 2, TRUE, 1)</f>
        <v>5</v>
      </c>
      <c r="I14" s="39" t="s">
        <v>361</v>
      </c>
      <c r="J14" s="29">
        <f t="shared" si="1"/>
        <v>0.2156655464</v>
      </c>
      <c r="K14" s="29">
        <f t="shared" si="2"/>
        <v>0.130188911</v>
      </c>
      <c r="L14" s="29">
        <f t="shared" si="3"/>
        <v>0.1901172752</v>
      </c>
      <c r="M14" s="29">
        <f t="shared" si="4"/>
        <v>0.3450327797</v>
      </c>
      <c r="N14" s="29">
        <f t="shared" si="5"/>
        <v>0.2383656473</v>
      </c>
      <c r="P14" s="76" t="s">
        <v>362</v>
      </c>
      <c r="Q14" s="71">
        <f t="shared" si="6"/>
        <v>0.01078327732</v>
      </c>
      <c r="R14" s="71">
        <f t="shared" si="7"/>
        <v>0.03254722775</v>
      </c>
      <c r="S14" s="71">
        <f t="shared" si="8"/>
        <v>0.03802345503</v>
      </c>
      <c r="T14" s="71">
        <f t="shared" si="9"/>
        <v>0.03450327797</v>
      </c>
      <c r="U14" s="71">
        <f t="shared" si="10"/>
        <v>0.09534625892</v>
      </c>
      <c r="V14" s="72"/>
      <c r="W14" s="39" t="s">
        <v>363</v>
      </c>
      <c r="X14" s="29">
        <f t="shared" si="11"/>
        <v>0.08261810165</v>
      </c>
      <c r="Y14" s="73">
        <f t="shared" si="12"/>
        <v>0.07203405608</v>
      </c>
      <c r="Z14" s="68"/>
      <c r="AA14" s="76" t="s">
        <v>364</v>
      </c>
      <c r="AB14" s="74">
        <f t="shared" si="13"/>
        <v>0.4657811254</v>
      </c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</row>
    <row r="15">
      <c r="B15" s="39" t="s">
        <v>365</v>
      </c>
      <c r="C15" s="29">
        <f>IFS('data raw'!E16&lt;=1, 1, 'data raw'!E16&lt;=25, 2, 'data raw'!E16&lt;=50, 3, 'data raw'!E16&lt;=75, 4, TRUE, 5)</f>
        <v>2</v>
      </c>
      <c r="D15" s="29">
        <f>IFS('data raw'!F16&lt;=1, 1, 'data raw'!F16&lt;=25, 2, 'data raw'!F16&lt;=50, 3, 'data raw'!F16&lt;=75, 4, TRUE, 5)</f>
        <v>1</v>
      </c>
      <c r="E15" s="29">
        <f>IFS('data raw'!G16&lt;=1, 1, 'data raw'!G16&lt;=25, 2, 'data raw'!G16&lt;=50, 3, 'data raw'!G16&lt;=75, 4, TRUE, 5)</f>
        <v>3</v>
      </c>
      <c r="F15" s="29">
        <f>IFS('data raw'!H16&lt;=1, 1, 'data raw'!H16&lt;=3, 2, 'data raw'!H16&lt;=5, 3, 'data raw'!H16&lt;=7, 4, TRUE, 5)</f>
        <v>1</v>
      </c>
      <c r="G15" s="29">
        <f>IFS('data raw'!M16&lt;=100, 5, 'data raw'!M16&lt;=200, 4, 'data raw'!M16&lt;=350, 3, 'data raw'!M16&lt;=500, 2, TRUE, 1)</f>
        <v>5</v>
      </c>
      <c r="I15" s="39" t="s">
        <v>366</v>
      </c>
      <c r="J15" s="29">
        <f t="shared" si="1"/>
        <v>0.2156655464</v>
      </c>
      <c r="K15" s="29">
        <f t="shared" si="2"/>
        <v>0.130188911</v>
      </c>
      <c r="L15" s="29">
        <f t="shared" si="3"/>
        <v>0.1901172752</v>
      </c>
      <c r="M15" s="29">
        <f t="shared" si="4"/>
        <v>0.06900655593</v>
      </c>
      <c r="N15" s="29">
        <f t="shared" si="5"/>
        <v>0.2383656473</v>
      </c>
      <c r="P15" s="76" t="s">
        <v>367</v>
      </c>
      <c r="Q15" s="71">
        <f t="shared" si="6"/>
        <v>0.01078327732</v>
      </c>
      <c r="R15" s="71">
        <f t="shared" si="7"/>
        <v>0.03254722775</v>
      </c>
      <c r="S15" s="71">
        <f t="shared" si="8"/>
        <v>0.03802345503</v>
      </c>
      <c r="T15" s="71">
        <f t="shared" si="9"/>
        <v>0.006900655593</v>
      </c>
      <c r="U15" s="71">
        <f t="shared" si="10"/>
        <v>0.09534625892</v>
      </c>
      <c r="V15" s="72"/>
      <c r="W15" s="39" t="s">
        <v>368</v>
      </c>
      <c r="X15" s="29">
        <f t="shared" si="11"/>
        <v>0.0810915148</v>
      </c>
      <c r="Y15" s="73">
        <f t="shared" si="12"/>
        <v>0.06653570826</v>
      </c>
      <c r="Z15" s="68"/>
      <c r="AA15" s="76" t="s">
        <v>369</v>
      </c>
      <c r="AB15" s="74">
        <f t="shared" si="13"/>
        <v>0.4507008049</v>
      </c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</row>
    <row r="16">
      <c r="B16" s="39" t="s">
        <v>370</v>
      </c>
      <c r="C16" s="29">
        <f>IFS('data raw'!E17&lt;=1, 1, 'data raw'!E17&lt;=25, 2, 'data raw'!E17&lt;=50, 3, 'data raw'!E17&lt;=75, 4, TRUE, 5)</f>
        <v>2</v>
      </c>
      <c r="D16" s="29">
        <f>IFS('data raw'!F17&lt;=1, 1, 'data raw'!F17&lt;=25, 2, 'data raw'!F17&lt;=50, 3, 'data raw'!F17&lt;=75, 4, TRUE, 5)</f>
        <v>1</v>
      </c>
      <c r="E16" s="29">
        <f>IFS('data raw'!G17&lt;=1, 1, 'data raw'!G17&lt;=25, 2, 'data raw'!G17&lt;=50, 3, 'data raw'!G17&lt;=75, 4, TRUE, 5)</f>
        <v>3</v>
      </c>
      <c r="F16" s="29">
        <f>IFS('data raw'!H17&lt;=1, 1, 'data raw'!H17&lt;=3, 2, 'data raw'!H17&lt;=5, 3, 'data raw'!H17&lt;=7, 4, TRUE, 5)</f>
        <v>2</v>
      </c>
      <c r="G16" s="29">
        <f>IFS('data raw'!M17&lt;=100, 5, 'data raw'!M17&lt;=200, 4, 'data raw'!M17&lt;=350, 3, 'data raw'!M17&lt;=500, 2, TRUE, 1)</f>
        <v>5</v>
      </c>
      <c r="I16" s="39" t="s">
        <v>371</v>
      </c>
      <c r="J16" s="29">
        <f t="shared" si="1"/>
        <v>0.2156655464</v>
      </c>
      <c r="K16" s="29">
        <f t="shared" si="2"/>
        <v>0.130188911</v>
      </c>
      <c r="L16" s="29">
        <f t="shared" si="3"/>
        <v>0.1901172752</v>
      </c>
      <c r="M16" s="29">
        <f t="shared" si="4"/>
        <v>0.1380131119</v>
      </c>
      <c r="N16" s="29">
        <f t="shared" si="5"/>
        <v>0.2383656473</v>
      </c>
      <c r="P16" s="76" t="s">
        <v>372</v>
      </c>
      <c r="Q16" s="71">
        <f t="shared" si="6"/>
        <v>0.01078327732</v>
      </c>
      <c r="R16" s="71">
        <f t="shared" si="7"/>
        <v>0.03254722775</v>
      </c>
      <c r="S16" s="71">
        <f t="shared" si="8"/>
        <v>0.03802345503</v>
      </c>
      <c r="T16" s="71">
        <f t="shared" si="9"/>
        <v>0.01380131119</v>
      </c>
      <c r="U16" s="71">
        <f t="shared" si="10"/>
        <v>0.09534625892</v>
      </c>
      <c r="V16" s="72"/>
      <c r="W16" s="39" t="s">
        <v>373</v>
      </c>
      <c r="X16" s="29">
        <f t="shared" si="11"/>
        <v>0.08059439104</v>
      </c>
      <c r="Y16" s="73">
        <f t="shared" si="12"/>
        <v>0.06689259691</v>
      </c>
      <c r="Z16" s="68"/>
      <c r="AA16" s="76" t="s">
        <v>374</v>
      </c>
      <c r="AB16" s="74">
        <f t="shared" si="13"/>
        <v>0.4535491425</v>
      </c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</row>
    <row r="17">
      <c r="B17" s="39" t="s">
        <v>375</v>
      </c>
      <c r="C17" s="29">
        <f>IFS('data raw'!E18&lt;=1, 1, 'data raw'!E18&lt;=25, 2, 'data raw'!E18&lt;=50, 3, 'data raw'!E18&lt;=75, 4, TRUE, 5)</f>
        <v>1</v>
      </c>
      <c r="D17" s="29">
        <f>IFS('data raw'!F18&lt;=1, 1, 'data raw'!F18&lt;=25, 2, 'data raw'!F18&lt;=50, 3, 'data raw'!F18&lt;=75, 4, TRUE, 5)</f>
        <v>1</v>
      </c>
      <c r="E17" s="29">
        <f>IFS('data raw'!G18&lt;=1, 1, 'data raw'!G18&lt;=25, 2, 'data raw'!G18&lt;=50, 3, 'data raw'!G18&lt;=75, 4, TRUE, 5)</f>
        <v>2</v>
      </c>
      <c r="F17" s="29">
        <f>IFS('data raw'!H18&lt;=1, 1, 'data raw'!H18&lt;=3, 2, 'data raw'!H18&lt;=5, 3, 'data raw'!H18&lt;=7, 4, TRUE, 5)</f>
        <v>1</v>
      </c>
      <c r="G17" s="29">
        <f>IFS('data raw'!M18&lt;=100, 5, 'data raw'!M18&lt;=200, 4, 'data raw'!M18&lt;=350, 3, 'data raw'!M18&lt;=500, 2, TRUE, 1)</f>
        <v>5</v>
      </c>
      <c r="I17" s="39" t="s">
        <v>376</v>
      </c>
      <c r="J17" s="29">
        <f t="shared" si="1"/>
        <v>0.1078327732</v>
      </c>
      <c r="K17" s="29">
        <f t="shared" si="2"/>
        <v>0.130188911</v>
      </c>
      <c r="L17" s="29">
        <f t="shared" si="3"/>
        <v>0.1267448501</v>
      </c>
      <c r="M17" s="29">
        <f t="shared" si="4"/>
        <v>0.06900655593</v>
      </c>
      <c r="N17" s="29">
        <f t="shared" si="5"/>
        <v>0.2383656473</v>
      </c>
      <c r="P17" s="76" t="s">
        <v>377</v>
      </c>
      <c r="Q17" s="71">
        <f t="shared" si="6"/>
        <v>0.00539163866</v>
      </c>
      <c r="R17" s="71">
        <f t="shared" si="7"/>
        <v>0.03254722775</v>
      </c>
      <c r="S17" s="71">
        <f t="shared" si="8"/>
        <v>0.02534897002</v>
      </c>
      <c r="T17" s="71">
        <f t="shared" si="9"/>
        <v>0.006900655593</v>
      </c>
      <c r="U17" s="71">
        <f t="shared" si="10"/>
        <v>0.09534625892</v>
      </c>
      <c r="V17" s="72"/>
      <c r="W17" s="39" t="s">
        <v>378</v>
      </c>
      <c r="X17" s="29">
        <f t="shared" si="11"/>
        <v>0.08640749925</v>
      </c>
      <c r="Y17" s="73">
        <f t="shared" si="12"/>
        <v>0.06509445549</v>
      </c>
      <c r="Z17" s="68"/>
      <c r="AA17" s="76" t="s">
        <v>379</v>
      </c>
      <c r="AB17" s="74">
        <f t="shared" si="13"/>
        <v>0.4296608291</v>
      </c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</row>
    <row r="18">
      <c r="B18" s="39" t="s">
        <v>380</v>
      </c>
      <c r="C18" s="29">
        <f>IFS('data raw'!E19&lt;=1, 1, 'data raw'!E19&lt;=25, 2, 'data raw'!E19&lt;=50, 3, 'data raw'!E19&lt;=75, 4, TRUE, 5)</f>
        <v>1</v>
      </c>
      <c r="D18" s="29">
        <f>IFS('data raw'!F19&lt;=1, 1, 'data raw'!F19&lt;=25, 2, 'data raw'!F19&lt;=50, 3, 'data raw'!F19&lt;=75, 4, TRUE, 5)</f>
        <v>1</v>
      </c>
      <c r="E18" s="29">
        <f>IFS('data raw'!G19&lt;=1, 1, 'data raw'!G19&lt;=25, 2, 'data raw'!G19&lt;=50, 3, 'data raw'!G19&lt;=75, 4, TRUE, 5)</f>
        <v>3</v>
      </c>
      <c r="F18" s="29">
        <f>IFS('data raw'!H19&lt;=1, 1, 'data raw'!H19&lt;=3, 2, 'data raw'!H19&lt;=5, 3, 'data raw'!H19&lt;=7, 4, TRUE, 5)</f>
        <v>2</v>
      </c>
      <c r="G18" s="29">
        <f>IFS('data raw'!M19&lt;=100, 5, 'data raw'!M19&lt;=200, 4, 'data raw'!M19&lt;=350, 3, 'data raw'!M19&lt;=500, 2, TRUE, 1)</f>
        <v>5</v>
      </c>
      <c r="I18" s="39" t="s">
        <v>381</v>
      </c>
      <c r="J18" s="29">
        <f t="shared" si="1"/>
        <v>0.1078327732</v>
      </c>
      <c r="K18" s="29">
        <f t="shared" si="2"/>
        <v>0.130188911</v>
      </c>
      <c r="L18" s="29">
        <f t="shared" si="3"/>
        <v>0.1901172752</v>
      </c>
      <c r="M18" s="29">
        <f t="shared" si="4"/>
        <v>0.1380131119</v>
      </c>
      <c r="N18" s="29">
        <f t="shared" si="5"/>
        <v>0.2383656473</v>
      </c>
      <c r="P18" s="76" t="s">
        <v>382</v>
      </c>
      <c r="Q18" s="71">
        <f t="shared" si="6"/>
        <v>0.00539163866</v>
      </c>
      <c r="R18" s="71">
        <f t="shared" si="7"/>
        <v>0.03254722775</v>
      </c>
      <c r="S18" s="71">
        <f t="shared" si="8"/>
        <v>0.03802345503</v>
      </c>
      <c r="T18" s="71">
        <f t="shared" si="9"/>
        <v>0.01380131119</v>
      </c>
      <c r="U18" s="71">
        <f t="shared" si="10"/>
        <v>0.09534625892</v>
      </c>
      <c r="V18" s="72"/>
      <c r="W18" s="39" t="s">
        <v>383</v>
      </c>
      <c r="X18" s="29">
        <f t="shared" si="11"/>
        <v>0.08113362539</v>
      </c>
      <c r="Y18" s="73">
        <f t="shared" si="12"/>
        <v>0.06667495597</v>
      </c>
      <c r="Z18" s="68"/>
      <c r="AA18" s="76" t="s">
        <v>384</v>
      </c>
      <c r="AB18" s="74">
        <f t="shared" si="13"/>
        <v>0.451089885</v>
      </c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</row>
    <row r="19">
      <c r="B19" s="43" t="s">
        <v>385</v>
      </c>
      <c r="C19" s="29">
        <f>IFS('data raw'!E20&lt;=1, 1, 'data raw'!E20&lt;=25, 2, 'data raw'!E20&lt;=50, 3, 'data raw'!E20&lt;=75, 4, TRUE, 5)</f>
        <v>2</v>
      </c>
      <c r="D19" s="29">
        <f>IFS('data raw'!F20&lt;=1, 1, 'data raw'!F20&lt;=25, 2, 'data raw'!F20&lt;=50, 3, 'data raw'!F20&lt;=75, 4, TRUE, 5)</f>
        <v>1</v>
      </c>
      <c r="E19" s="29">
        <f>IFS('data raw'!G20&lt;=1, 1, 'data raw'!G20&lt;=25, 2, 'data raw'!G20&lt;=50, 3, 'data raw'!G20&lt;=75, 4, TRUE, 5)</f>
        <v>3</v>
      </c>
      <c r="F19" s="29">
        <f>IFS('data raw'!H20&lt;=1, 1, 'data raw'!H20&lt;=3, 2, 'data raw'!H20&lt;=5, 3, 'data raw'!H20&lt;=7, 4, TRUE, 5)</f>
        <v>1</v>
      </c>
      <c r="G19" s="29">
        <f>IFS('data raw'!M20&lt;=100, 5, 'data raw'!M20&lt;=200, 4, 'data raw'!M20&lt;=350, 3, 'data raw'!M20&lt;=500, 2, TRUE, 1)</f>
        <v>5</v>
      </c>
      <c r="I19" s="43" t="s">
        <v>386</v>
      </c>
      <c r="J19" s="29">
        <f t="shared" si="1"/>
        <v>0.2156655464</v>
      </c>
      <c r="K19" s="29">
        <f t="shared" si="2"/>
        <v>0.130188911</v>
      </c>
      <c r="L19" s="29">
        <f t="shared" si="3"/>
        <v>0.1901172752</v>
      </c>
      <c r="M19" s="29">
        <f t="shared" si="4"/>
        <v>0.06900655593</v>
      </c>
      <c r="N19" s="29">
        <f t="shared" si="5"/>
        <v>0.2383656473</v>
      </c>
      <c r="P19" s="81" t="s">
        <v>387</v>
      </c>
      <c r="Q19" s="71">
        <f t="shared" si="6"/>
        <v>0.01078327732</v>
      </c>
      <c r="R19" s="71">
        <f t="shared" si="7"/>
        <v>0.03254722775</v>
      </c>
      <c r="S19" s="71">
        <f t="shared" si="8"/>
        <v>0.03802345503</v>
      </c>
      <c r="T19" s="71">
        <f t="shared" si="9"/>
        <v>0.006900655593</v>
      </c>
      <c r="U19" s="71">
        <f t="shared" si="10"/>
        <v>0.09534625892</v>
      </c>
      <c r="V19" s="72"/>
      <c r="W19" s="43" t="s">
        <v>388</v>
      </c>
      <c r="X19" s="29">
        <f t="shared" si="11"/>
        <v>0.0810915148</v>
      </c>
      <c r="Y19" s="73">
        <f t="shared" si="12"/>
        <v>0.06653570826</v>
      </c>
      <c r="Z19" s="68"/>
      <c r="AA19" s="81" t="s">
        <v>389</v>
      </c>
      <c r="AB19" s="74">
        <f t="shared" si="13"/>
        <v>0.4507008049</v>
      </c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</row>
    <row r="20">
      <c r="B20" s="39" t="s">
        <v>390</v>
      </c>
      <c r="C20" s="29">
        <f>IFS('data raw'!E21&lt;=1, 1, 'data raw'!E21&lt;=25, 2, 'data raw'!E21&lt;=50, 3, 'data raw'!E21&lt;=75, 4, TRUE, 5)</f>
        <v>1</v>
      </c>
      <c r="D20" s="29">
        <f>IFS('data raw'!F21&lt;=1, 1, 'data raw'!F21&lt;=25, 2, 'data raw'!F21&lt;=50, 3, 'data raw'!F21&lt;=75, 4, TRUE, 5)</f>
        <v>1</v>
      </c>
      <c r="E20" s="29">
        <f>IFS('data raw'!G21&lt;=1, 1, 'data raw'!G21&lt;=25, 2, 'data raw'!G21&lt;=50, 3, 'data raw'!G21&lt;=75, 4, TRUE, 5)</f>
        <v>2</v>
      </c>
      <c r="F20" s="29">
        <f>IFS('data raw'!H21&lt;=1, 1, 'data raw'!H21&lt;=3, 2, 'data raw'!H21&lt;=5, 3, 'data raw'!H21&lt;=7, 4, TRUE, 5)</f>
        <v>3</v>
      </c>
      <c r="G20" s="29">
        <f>IFS('data raw'!M21&lt;=100, 5, 'data raw'!M21&lt;=200, 4, 'data raw'!M21&lt;=350, 3, 'data raw'!M21&lt;=500, 2, TRUE, 1)</f>
        <v>5</v>
      </c>
      <c r="I20" s="39" t="s">
        <v>391</v>
      </c>
      <c r="J20" s="29">
        <f t="shared" si="1"/>
        <v>0.1078327732</v>
      </c>
      <c r="K20" s="29">
        <f t="shared" si="2"/>
        <v>0.130188911</v>
      </c>
      <c r="L20" s="29">
        <f t="shared" si="3"/>
        <v>0.1267448501</v>
      </c>
      <c r="M20" s="29">
        <f t="shared" si="4"/>
        <v>0.2070196678</v>
      </c>
      <c r="N20" s="29">
        <f t="shared" si="5"/>
        <v>0.2383656473</v>
      </c>
      <c r="P20" s="76" t="s">
        <v>392</v>
      </c>
      <c r="Q20" s="71">
        <f t="shared" si="6"/>
        <v>0.00539163866</v>
      </c>
      <c r="R20" s="71">
        <f t="shared" si="7"/>
        <v>0.03254722775</v>
      </c>
      <c r="S20" s="71">
        <f t="shared" si="8"/>
        <v>0.02534897002</v>
      </c>
      <c r="T20" s="71">
        <f t="shared" si="9"/>
        <v>0.02070196678</v>
      </c>
      <c r="U20" s="71">
        <f t="shared" si="10"/>
        <v>0.09534625892</v>
      </c>
      <c r="V20" s="72"/>
      <c r="W20" s="39" t="s">
        <v>393</v>
      </c>
      <c r="X20" s="29">
        <f t="shared" si="11"/>
        <v>0.08602754332</v>
      </c>
      <c r="Y20" s="73">
        <f t="shared" si="12"/>
        <v>0.06654144818</v>
      </c>
      <c r="Z20" s="68"/>
      <c r="AA20" s="76" t="s">
        <v>394</v>
      </c>
      <c r="AB20" s="74">
        <f t="shared" si="13"/>
        <v>0.4361400539</v>
      </c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</row>
    <row r="21">
      <c r="B21" s="39" t="s">
        <v>395</v>
      </c>
      <c r="C21" s="29">
        <f>IFS('data raw'!E22&lt;=1, 1, 'data raw'!E22&lt;=25, 2, 'data raw'!E22&lt;=50, 3, 'data raw'!E22&lt;=75, 4, TRUE, 5)</f>
        <v>2</v>
      </c>
      <c r="D21" s="29">
        <f>IFS('data raw'!F22&lt;=1, 1, 'data raw'!F22&lt;=25, 2, 'data raw'!F22&lt;=50, 3, 'data raw'!F22&lt;=75, 4, TRUE, 5)</f>
        <v>2</v>
      </c>
      <c r="E21" s="29">
        <f>IFS('data raw'!G22&lt;=1, 1, 'data raw'!G22&lt;=25, 2, 'data raw'!G22&lt;=50, 3, 'data raw'!G22&lt;=75, 4, TRUE, 5)</f>
        <v>4</v>
      </c>
      <c r="F21" s="29">
        <f>IFS('data raw'!H22&lt;=1, 1, 'data raw'!H22&lt;=3, 2, 'data raw'!H22&lt;=5, 3, 'data raw'!H22&lt;=7, 4, TRUE, 5)</f>
        <v>3</v>
      </c>
      <c r="G21" s="29">
        <f>IFS('data raw'!M22&lt;=100, 5, 'data raw'!M22&lt;=200, 4, 'data raw'!M22&lt;=350, 3, 'data raw'!M22&lt;=500, 2, TRUE, 1)</f>
        <v>1</v>
      </c>
      <c r="I21" s="39" t="s">
        <v>396</v>
      </c>
      <c r="J21" s="29">
        <f t="shared" si="1"/>
        <v>0.2156655464</v>
      </c>
      <c r="K21" s="29">
        <f t="shared" si="2"/>
        <v>0.260377822</v>
      </c>
      <c r="L21" s="29">
        <f t="shared" si="3"/>
        <v>0.2534897002</v>
      </c>
      <c r="M21" s="29">
        <f t="shared" si="4"/>
        <v>0.2070196678</v>
      </c>
      <c r="N21" s="29">
        <f t="shared" si="5"/>
        <v>0.04767312946</v>
      </c>
      <c r="P21" s="76" t="s">
        <v>397</v>
      </c>
      <c r="Q21" s="71">
        <f t="shared" si="6"/>
        <v>0.01078327732</v>
      </c>
      <c r="R21" s="71">
        <f t="shared" si="7"/>
        <v>0.06509445549</v>
      </c>
      <c r="S21" s="71">
        <f t="shared" si="8"/>
        <v>0.05069794004</v>
      </c>
      <c r="T21" s="71">
        <f t="shared" si="9"/>
        <v>0.02070196678</v>
      </c>
      <c r="U21" s="71">
        <f t="shared" si="10"/>
        <v>0.01906925178</v>
      </c>
      <c r="V21" s="72"/>
      <c r="W21" s="39" t="s">
        <v>398</v>
      </c>
      <c r="X21" s="29">
        <f t="shared" si="11"/>
        <v>0.03563044429</v>
      </c>
      <c r="Y21" s="73">
        <f t="shared" si="12"/>
        <v>0.08797511063</v>
      </c>
      <c r="Z21" s="68"/>
      <c r="AA21" s="76" t="s">
        <v>399</v>
      </c>
      <c r="AB21" s="74">
        <f t="shared" si="13"/>
        <v>0.7117407521</v>
      </c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</row>
    <row r="22">
      <c r="B22" s="38" t="s">
        <v>400</v>
      </c>
      <c r="C22" s="29">
        <f>IFS('data raw'!E23&lt;=1, 1, 'data raw'!E23&lt;=25, 2, 'data raw'!E23&lt;=50, 3, 'data raw'!E23&lt;=75, 4, TRUE, 5)</f>
        <v>1</v>
      </c>
      <c r="D22" s="29">
        <f>IFS('data raw'!F23&lt;=1, 1, 'data raw'!F23&lt;=25, 2, 'data raw'!F23&lt;=50, 3, 'data raw'!F23&lt;=75, 4, TRUE, 5)</f>
        <v>2</v>
      </c>
      <c r="E22" s="29">
        <f>IFS('data raw'!G23&lt;=1, 1, 'data raw'!G23&lt;=25, 2, 'data raw'!G23&lt;=50, 3, 'data raw'!G23&lt;=75, 4, TRUE, 5)</f>
        <v>4</v>
      </c>
      <c r="F22" s="29">
        <f>IFS('data raw'!H23&lt;=1, 1, 'data raw'!H23&lt;=3, 2, 'data raw'!H23&lt;=5, 3, 'data raw'!H23&lt;=7, 4, TRUE, 5)</f>
        <v>5</v>
      </c>
      <c r="G22" s="29">
        <f>IFS('data raw'!M23&lt;=100, 5, 'data raw'!M23&lt;=200, 4, 'data raw'!M23&lt;=350, 3, 'data raw'!M23&lt;=500, 2, TRUE, 1)</f>
        <v>5</v>
      </c>
      <c r="I22" s="38" t="s">
        <v>401</v>
      </c>
      <c r="J22" s="29">
        <f t="shared" si="1"/>
        <v>0.1078327732</v>
      </c>
      <c r="K22" s="29">
        <f t="shared" si="2"/>
        <v>0.260377822</v>
      </c>
      <c r="L22" s="29">
        <f t="shared" si="3"/>
        <v>0.2534897002</v>
      </c>
      <c r="M22" s="29">
        <f t="shared" si="4"/>
        <v>0.3450327797</v>
      </c>
      <c r="N22" s="29">
        <f t="shared" si="5"/>
        <v>0.2383656473</v>
      </c>
      <c r="P22" s="75" t="s">
        <v>402</v>
      </c>
      <c r="Q22" s="71">
        <f t="shared" si="6"/>
        <v>0.00539163866</v>
      </c>
      <c r="R22" s="71">
        <f t="shared" si="7"/>
        <v>0.06509445549</v>
      </c>
      <c r="S22" s="71">
        <f t="shared" si="8"/>
        <v>0.05069794004</v>
      </c>
      <c r="T22" s="71">
        <f t="shared" si="9"/>
        <v>0.03450327797</v>
      </c>
      <c r="U22" s="71">
        <f t="shared" si="10"/>
        <v>0.09534625892</v>
      </c>
      <c r="V22" s="72"/>
      <c r="W22" s="38" t="s">
        <v>403</v>
      </c>
      <c r="X22" s="29">
        <f t="shared" si="11"/>
        <v>0.08654683325</v>
      </c>
      <c r="Y22" s="73">
        <f t="shared" si="12"/>
        <v>0.04963665054</v>
      </c>
      <c r="Z22" s="68"/>
      <c r="AA22" s="75" t="s">
        <v>404</v>
      </c>
      <c r="AB22" s="74">
        <f t="shared" si="13"/>
        <v>0.3644836302</v>
      </c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</row>
    <row r="23">
      <c r="B23" s="39" t="s">
        <v>405</v>
      </c>
      <c r="C23" s="29">
        <f>IFS('data raw'!E24&lt;=1, 1, 'data raw'!E24&lt;=25, 2, 'data raw'!E24&lt;=50, 3, 'data raw'!E24&lt;=75, 4, TRUE, 5)</f>
        <v>2</v>
      </c>
      <c r="D23" s="29">
        <f>IFS('data raw'!F24&lt;=1, 1, 'data raw'!F24&lt;=25, 2, 'data raw'!F24&lt;=50, 3, 'data raw'!F24&lt;=75, 4, TRUE, 5)</f>
        <v>2</v>
      </c>
      <c r="E23" s="29">
        <f>IFS('data raw'!G24&lt;=1, 1, 'data raw'!G24&lt;=25, 2, 'data raw'!G24&lt;=50, 3, 'data raw'!G24&lt;=75, 4, TRUE, 5)</f>
        <v>4</v>
      </c>
      <c r="F23" s="29">
        <f>IFS('data raw'!H24&lt;=1, 1, 'data raw'!H24&lt;=3, 2, 'data raw'!H24&lt;=5, 3, 'data raw'!H24&lt;=7, 4, TRUE, 5)</f>
        <v>3</v>
      </c>
      <c r="G23" s="29">
        <f>IFS('data raw'!M24&lt;=100, 5, 'data raw'!M24&lt;=200, 4, 'data raw'!M24&lt;=350, 3, 'data raw'!M24&lt;=500, 2, TRUE, 1)</f>
        <v>1</v>
      </c>
      <c r="I23" s="39" t="s">
        <v>406</v>
      </c>
      <c r="J23" s="29">
        <f t="shared" si="1"/>
        <v>0.2156655464</v>
      </c>
      <c r="K23" s="29">
        <f t="shared" si="2"/>
        <v>0.260377822</v>
      </c>
      <c r="L23" s="29">
        <f t="shared" si="3"/>
        <v>0.2534897002</v>
      </c>
      <c r="M23" s="29">
        <f t="shared" si="4"/>
        <v>0.2070196678</v>
      </c>
      <c r="N23" s="29">
        <f t="shared" si="5"/>
        <v>0.04767312946</v>
      </c>
      <c r="P23" s="76" t="s">
        <v>407</v>
      </c>
      <c r="Q23" s="71">
        <f t="shared" si="6"/>
        <v>0.01078327732</v>
      </c>
      <c r="R23" s="71">
        <f t="shared" si="7"/>
        <v>0.06509445549</v>
      </c>
      <c r="S23" s="71">
        <f t="shared" si="8"/>
        <v>0.05069794004</v>
      </c>
      <c r="T23" s="71">
        <f t="shared" si="9"/>
        <v>0.02070196678</v>
      </c>
      <c r="U23" s="71">
        <f t="shared" si="10"/>
        <v>0.01906925178</v>
      </c>
      <c r="V23" s="72"/>
      <c r="W23" s="39" t="s">
        <v>408</v>
      </c>
      <c r="X23" s="29">
        <f t="shared" si="11"/>
        <v>0.03563044429</v>
      </c>
      <c r="Y23" s="73">
        <f t="shared" si="12"/>
        <v>0.08797511063</v>
      </c>
      <c r="Z23" s="68"/>
      <c r="AA23" s="76" t="s">
        <v>409</v>
      </c>
      <c r="AB23" s="74">
        <f t="shared" si="13"/>
        <v>0.7117407521</v>
      </c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</row>
    <row r="24">
      <c r="B24" s="39" t="s">
        <v>410</v>
      </c>
      <c r="C24" s="29">
        <f>IFS('data raw'!E25&lt;=1, 1, 'data raw'!E25&lt;=25, 2, 'data raw'!E25&lt;=50, 3, 'data raw'!E25&lt;=75, 4, TRUE, 5)</f>
        <v>2</v>
      </c>
      <c r="D24" s="29">
        <f>IFS('data raw'!F25&lt;=1, 1, 'data raw'!F25&lt;=25, 2, 'data raw'!F25&lt;=50, 3, 'data raw'!F25&lt;=75, 4, TRUE, 5)</f>
        <v>2</v>
      </c>
      <c r="E24" s="29">
        <f>IFS('data raw'!G25&lt;=1, 1, 'data raw'!G25&lt;=25, 2, 'data raw'!G25&lt;=50, 3, 'data raw'!G25&lt;=75, 4, TRUE, 5)</f>
        <v>4</v>
      </c>
      <c r="F24" s="29">
        <f>IFS('data raw'!H25&lt;=1, 1, 'data raw'!H25&lt;=3, 2, 'data raw'!H25&lt;=5, 3, 'data raw'!H25&lt;=7, 4, TRUE, 5)</f>
        <v>3</v>
      </c>
      <c r="G24" s="29">
        <f>IFS('data raw'!M25&lt;=100, 5, 'data raw'!M25&lt;=200, 4, 'data raw'!M25&lt;=350, 3, 'data raw'!M25&lt;=500, 2, TRUE, 1)</f>
        <v>2</v>
      </c>
      <c r="I24" s="39" t="s">
        <v>411</v>
      </c>
      <c r="J24" s="29">
        <f t="shared" si="1"/>
        <v>0.2156655464</v>
      </c>
      <c r="K24" s="29">
        <f t="shared" si="2"/>
        <v>0.260377822</v>
      </c>
      <c r="L24" s="29">
        <f t="shared" si="3"/>
        <v>0.2534897002</v>
      </c>
      <c r="M24" s="29">
        <f t="shared" si="4"/>
        <v>0.2070196678</v>
      </c>
      <c r="N24" s="29">
        <f t="shared" si="5"/>
        <v>0.09534625892</v>
      </c>
      <c r="P24" s="76" t="s">
        <v>412</v>
      </c>
      <c r="Q24" s="71">
        <f t="shared" si="6"/>
        <v>0.01078327732</v>
      </c>
      <c r="R24" s="71">
        <f t="shared" si="7"/>
        <v>0.06509445549</v>
      </c>
      <c r="S24" s="71">
        <f t="shared" si="8"/>
        <v>0.05069794004</v>
      </c>
      <c r="T24" s="71">
        <f t="shared" si="9"/>
        <v>0.02070196678</v>
      </c>
      <c r="U24" s="71">
        <f t="shared" si="10"/>
        <v>0.03813850357</v>
      </c>
      <c r="V24" s="72"/>
      <c r="W24" s="39" t="s">
        <v>413</v>
      </c>
      <c r="X24" s="29">
        <f t="shared" si="11"/>
        <v>0.04041243527</v>
      </c>
      <c r="Y24" s="73">
        <f t="shared" si="12"/>
        <v>0.07207055949</v>
      </c>
      <c r="Z24" s="68"/>
      <c r="AA24" s="76" t="s">
        <v>414</v>
      </c>
      <c r="AB24" s="74">
        <f t="shared" si="13"/>
        <v>0.6407240459</v>
      </c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</row>
    <row r="25">
      <c r="B25" s="39" t="s">
        <v>415</v>
      </c>
      <c r="C25" s="29">
        <f>IFS('data raw'!E26&lt;=1, 1, 'data raw'!E26&lt;=25, 2, 'data raw'!E26&lt;=50, 3, 'data raw'!E26&lt;=75, 4, TRUE, 5)</f>
        <v>2</v>
      </c>
      <c r="D25" s="29">
        <f>IFS('data raw'!F26&lt;=1, 1, 'data raw'!F26&lt;=25, 2, 'data raw'!F26&lt;=50, 3, 'data raw'!F26&lt;=75, 4, TRUE, 5)</f>
        <v>1</v>
      </c>
      <c r="E25" s="29">
        <f>IFS('data raw'!G26&lt;=1, 1, 'data raw'!G26&lt;=25, 2, 'data raw'!G26&lt;=50, 3, 'data raw'!G26&lt;=75, 4, TRUE, 5)</f>
        <v>4</v>
      </c>
      <c r="F25" s="29">
        <f>IFS('data raw'!H26&lt;=1, 1, 'data raw'!H26&lt;=3, 2, 'data raw'!H26&lt;=5, 3, 'data raw'!H26&lt;=7, 4, TRUE, 5)</f>
        <v>2</v>
      </c>
      <c r="G25" s="29">
        <f>IFS('data raw'!M26&lt;=100, 5, 'data raw'!M26&lt;=200, 4, 'data raw'!M26&lt;=350, 3, 'data raw'!M26&lt;=500, 2, TRUE, 1)</f>
        <v>5</v>
      </c>
      <c r="I25" s="39" t="s">
        <v>416</v>
      </c>
      <c r="J25" s="29">
        <f t="shared" si="1"/>
        <v>0.2156655464</v>
      </c>
      <c r="K25" s="29">
        <f t="shared" si="2"/>
        <v>0.130188911</v>
      </c>
      <c r="L25" s="29">
        <f t="shared" si="3"/>
        <v>0.2534897002</v>
      </c>
      <c r="M25" s="29">
        <f t="shared" si="4"/>
        <v>0.1380131119</v>
      </c>
      <c r="N25" s="29">
        <f t="shared" si="5"/>
        <v>0.2383656473</v>
      </c>
      <c r="P25" s="76" t="s">
        <v>417</v>
      </c>
      <c r="Q25" s="71">
        <f t="shared" si="6"/>
        <v>0.01078327732</v>
      </c>
      <c r="R25" s="71">
        <f t="shared" si="7"/>
        <v>0.03254722775</v>
      </c>
      <c r="S25" s="71">
        <f t="shared" si="8"/>
        <v>0.05069794004</v>
      </c>
      <c r="T25" s="71">
        <f t="shared" si="9"/>
        <v>0.01380131119</v>
      </c>
      <c r="U25" s="71">
        <f t="shared" si="10"/>
        <v>0.09534625892</v>
      </c>
      <c r="V25" s="72"/>
      <c r="W25" s="39" t="s">
        <v>418</v>
      </c>
      <c r="X25" s="29">
        <f t="shared" si="11"/>
        <v>0.07754694163</v>
      </c>
      <c r="Y25" s="73">
        <f t="shared" si="12"/>
        <v>0.07040275017</v>
      </c>
      <c r="Z25" s="68"/>
      <c r="AA25" s="76" t="s">
        <v>419</v>
      </c>
      <c r="AB25" s="74">
        <f t="shared" si="13"/>
        <v>0.475856011</v>
      </c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</row>
    <row r="26">
      <c r="B26" s="39" t="s">
        <v>420</v>
      </c>
      <c r="C26" s="29">
        <f>IFS('data raw'!E27&lt;=1, 1, 'data raw'!E27&lt;=25, 2, 'data raw'!E27&lt;=50, 3, 'data raw'!E27&lt;=75, 4, TRUE, 5)</f>
        <v>1</v>
      </c>
      <c r="D26" s="29">
        <f>IFS('data raw'!F27&lt;=1, 1, 'data raw'!F27&lt;=25, 2, 'data raw'!F27&lt;=50, 3, 'data raw'!F27&lt;=75, 4, TRUE, 5)</f>
        <v>1</v>
      </c>
      <c r="E26" s="29">
        <f>IFS('data raw'!G27&lt;=1, 1, 'data raw'!G27&lt;=25, 2, 'data raw'!G27&lt;=50, 3, 'data raw'!G27&lt;=75, 4, TRUE, 5)</f>
        <v>2</v>
      </c>
      <c r="F26" s="29">
        <f>IFS('data raw'!H27&lt;=1, 1, 'data raw'!H27&lt;=3, 2, 'data raw'!H27&lt;=5, 3, 'data raw'!H27&lt;=7, 4, TRUE, 5)</f>
        <v>1</v>
      </c>
      <c r="G26" s="29">
        <f>IFS('data raw'!M27&lt;=100, 5, 'data raw'!M27&lt;=200, 4, 'data raw'!M27&lt;=350, 3, 'data raw'!M27&lt;=500, 2, TRUE, 1)</f>
        <v>5</v>
      </c>
      <c r="I26" s="39" t="s">
        <v>421</v>
      </c>
      <c r="J26" s="29">
        <f t="shared" si="1"/>
        <v>0.1078327732</v>
      </c>
      <c r="K26" s="29">
        <f t="shared" si="2"/>
        <v>0.130188911</v>
      </c>
      <c r="L26" s="29">
        <f t="shared" si="3"/>
        <v>0.1267448501</v>
      </c>
      <c r="M26" s="29">
        <f t="shared" si="4"/>
        <v>0.06900655593</v>
      </c>
      <c r="N26" s="29">
        <f t="shared" si="5"/>
        <v>0.2383656473</v>
      </c>
      <c r="P26" s="76" t="s">
        <v>422</v>
      </c>
      <c r="Q26" s="71">
        <f t="shared" si="6"/>
        <v>0.00539163866</v>
      </c>
      <c r="R26" s="71">
        <f t="shared" si="7"/>
        <v>0.03254722775</v>
      </c>
      <c r="S26" s="71">
        <f t="shared" si="8"/>
        <v>0.02534897002</v>
      </c>
      <c r="T26" s="71">
        <f t="shared" si="9"/>
        <v>0.006900655593</v>
      </c>
      <c r="U26" s="71">
        <f t="shared" si="10"/>
        <v>0.09534625892</v>
      </c>
      <c r="V26" s="72"/>
      <c r="W26" s="39" t="s">
        <v>423</v>
      </c>
      <c r="X26" s="29">
        <f t="shared" si="11"/>
        <v>0.08640749925</v>
      </c>
      <c r="Y26" s="73">
        <f t="shared" si="12"/>
        <v>0.06509445549</v>
      </c>
      <c r="Z26" s="68"/>
      <c r="AA26" s="76" t="s">
        <v>424</v>
      </c>
      <c r="AB26" s="74">
        <f t="shared" si="13"/>
        <v>0.4296608291</v>
      </c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</row>
    <row r="27">
      <c r="B27" s="38" t="s">
        <v>425</v>
      </c>
      <c r="C27" s="29">
        <f>IFS('data raw'!E28&lt;=1, 1, 'data raw'!E28&lt;=25, 2, 'data raw'!E28&lt;=50, 3, 'data raw'!E28&lt;=75, 4, TRUE, 5)</f>
        <v>2</v>
      </c>
      <c r="D27" s="29">
        <f>IFS('data raw'!F28&lt;=1, 1, 'data raw'!F28&lt;=25, 2, 'data raw'!F28&lt;=50, 3, 'data raw'!F28&lt;=75, 4, TRUE, 5)</f>
        <v>1</v>
      </c>
      <c r="E27" s="29">
        <f>IFS('data raw'!G28&lt;=1, 1, 'data raw'!G28&lt;=25, 2, 'data raw'!G28&lt;=50, 3, 'data raw'!G28&lt;=75, 4, TRUE, 5)</f>
        <v>2</v>
      </c>
      <c r="F27" s="29">
        <f>IFS('data raw'!H28&lt;=1, 1, 'data raw'!H28&lt;=3, 2, 'data raw'!H28&lt;=5, 3, 'data raw'!H28&lt;=7, 4, TRUE, 5)</f>
        <v>2</v>
      </c>
      <c r="G27" s="29">
        <f>IFS('data raw'!M28&lt;=100, 5, 'data raw'!M28&lt;=200, 4, 'data raw'!M28&lt;=350, 3, 'data raw'!M28&lt;=500, 2, TRUE, 1)</f>
        <v>2</v>
      </c>
      <c r="I27" s="38" t="s">
        <v>426</v>
      </c>
      <c r="J27" s="29">
        <f t="shared" si="1"/>
        <v>0.2156655464</v>
      </c>
      <c r="K27" s="29">
        <f t="shared" si="2"/>
        <v>0.130188911</v>
      </c>
      <c r="L27" s="29">
        <f t="shared" si="3"/>
        <v>0.1267448501</v>
      </c>
      <c r="M27" s="29">
        <f t="shared" si="4"/>
        <v>0.1380131119</v>
      </c>
      <c r="N27" s="29">
        <f t="shared" si="5"/>
        <v>0.09534625892</v>
      </c>
      <c r="P27" s="75" t="s">
        <v>427</v>
      </c>
      <c r="Q27" s="71">
        <f t="shared" si="6"/>
        <v>0.01078327732</v>
      </c>
      <c r="R27" s="71">
        <f t="shared" si="7"/>
        <v>0.03254722775</v>
      </c>
      <c r="S27" s="71">
        <f t="shared" si="8"/>
        <v>0.02534897002</v>
      </c>
      <c r="T27" s="71">
        <f t="shared" si="9"/>
        <v>0.01380131119</v>
      </c>
      <c r="U27" s="71">
        <f t="shared" si="10"/>
        <v>0.03813850357</v>
      </c>
      <c r="V27" s="72"/>
      <c r="W27" s="38" t="s">
        <v>428</v>
      </c>
      <c r="X27" s="29">
        <f t="shared" si="11"/>
        <v>0.04294325632</v>
      </c>
      <c r="Y27" s="73">
        <f t="shared" si="12"/>
        <v>0.08710168898</v>
      </c>
      <c r="Z27" s="68"/>
      <c r="AA27" s="75" t="s">
        <v>429</v>
      </c>
      <c r="AB27" s="74">
        <f t="shared" si="13"/>
        <v>0.6697814266</v>
      </c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</row>
    <row r="28">
      <c r="B28" s="39" t="s">
        <v>430</v>
      </c>
      <c r="C28" s="29">
        <f>IFS('data raw'!E29&lt;=1, 1, 'data raw'!E29&lt;=25, 2, 'data raw'!E29&lt;=50, 3, 'data raw'!E29&lt;=75, 4, TRUE, 5)</f>
        <v>3</v>
      </c>
      <c r="D28" s="29">
        <f>IFS('data raw'!F29&lt;=1, 1, 'data raw'!F29&lt;=25, 2, 'data raw'!F29&lt;=50, 3, 'data raw'!F29&lt;=75, 4, TRUE, 5)</f>
        <v>3</v>
      </c>
      <c r="E28" s="29">
        <f>IFS('data raw'!G29&lt;=1, 1, 'data raw'!G29&lt;=25, 2, 'data raw'!G29&lt;=50, 3, 'data raw'!G29&lt;=75, 4, TRUE, 5)</f>
        <v>2</v>
      </c>
      <c r="F28" s="29">
        <f>IFS('data raw'!H29&lt;=1, 1, 'data raw'!H29&lt;=3, 2, 'data raw'!H29&lt;=5, 3, 'data raw'!H29&lt;=7, 4, TRUE, 5)</f>
        <v>5</v>
      </c>
      <c r="G28" s="29">
        <f>IFS('data raw'!M29&lt;=100, 5, 'data raw'!M29&lt;=200, 4, 'data raw'!M29&lt;=350, 3, 'data raw'!M29&lt;=500, 2, TRUE, 1)</f>
        <v>5</v>
      </c>
      <c r="I28" s="39" t="s">
        <v>431</v>
      </c>
      <c r="J28" s="29">
        <f t="shared" si="1"/>
        <v>0.3234983196</v>
      </c>
      <c r="K28" s="29">
        <f t="shared" si="2"/>
        <v>0.3905667329</v>
      </c>
      <c r="L28" s="29">
        <f t="shared" si="3"/>
        <v>0.1267448501</v>
      </c>
      <c r="M28" s="29">
        <f t="shared" si="4"/>
        <v>0.3450327797</v>
      </c>
      <c r="N28" s="29">
        <f t="shared" si="5"/>
        <v>0.2383656473</v>
      </c>
      <c r="P28" s="76" t="s">
        <v>432</v>
      </c>
      <c r="Q28" s="71">
        <f t="shared" si="6"/>
        <v>0.01617491598</v>
      </c>
      <c r="R28" s="71">
        <f t="shared" si="7"/>
        <v>0.09764168324</v>
      </c>
      <c r="S28" s="71">
        <f t="shared" si="8"/>
        <v>0.02534897002</v>
      </c>
      <c r="T28" s="71">
        <f t="shared" si="9"/>
        <v>0.03450327797</v>
      </c>
      <c r="U28" s="71">
        <f t="shared" si="10"/>
        <v>0.09534625892</v>
      </c>
      <c r="V28" s="72"/>
      <c r="W28" s="39" t="s">
        <v>433</v>
      </c>
      <c r="X28" s="29">
        <f t="shared" si="11"/>
        <v>0.1087988141</v>
      </c>
      <c r="Y28" s="73">
        <f t="shared" si="12"/>
        <v>0.02963416663</v>
      </c>
      <c r="Z28" s="68"/>
      <c r="AA28" s="76" t="s">
        <v>434</v>
      </c>
      <c r="AB28" s="74">
        <f t="shared" si="13"/>
        <v>0.2140686886</v>
      </c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</row>
    <row r="29">
      <c r="B29" s="39" t="s">
        <v>435</v>
      </c>
      <c r="C29" s="29">
        <f>IFS('data raw'!E30&lt;=1, 1, 'data raw'!E30&lt;=25, 2, 'data raw'!E30&lt;=50, 3, 'data raw'!E30&lt;=75, 4, TRUE, 5)</f>
        <v>2</v>
      </c>
      <c r="D29" s="29">
        <f>IFS('data raw'!F30&lt;=1, 1, 'data raw'!F30&lt;=25, 2, 'data raw'!F30&lt;=50, 3, 'data raw'!F30&lt;=75, 4, TRUE, 5)</f>
        <v>2</v>
      </c>
      <c r="E29" s="29">
        <f>IFS('data raw'!G30&lt;=1, 1, 'data raw'!G30&lt;=25, 2, 'data raw'!G30&lt;=50, 3, 'data raw'!G30&lt;=75, 4, TRUE, 5)</f>
        <v>2</v>
      </c>
      <c r="F29" s="29">
        <f>IFS('data raw'!H30&lt;=1, 1, 'data raw'!H30&lt;=3, 2, 'data raw'!H30&lt;=5, 3, 'data raw'!H30&lt;=7, 4, TRUE, 5)</f>
        <v>2</v>
      </c>
      <c r="G29" s="29">
        <f>IFS('data raw'!M30&lt;=100, 5, 'data raw'!M30&lt;=200, 4, 'data raw'!M30&lt;=350, 3, 'data raw'!M30&lt;=500, 2, TRUE, 1)</f>
        <v>4</v>
      </c>
      <c r="I29" s="39" t="s">
        <v>436</v>
      </c>
      <c r="J29" s="29">
        <f t="shared" si="1"/>
        <v>0.2156655464</v>
      </c>
      <c r="K29" s="29">
        <f t="shared" si="2"/>
        <v>0.260377822</v>
      </c>
      <c r="L29" s="29">
        <f t="shared" si="3"/>
        <v>0.1267448501</v>
      </c>
      <c r="M29" s="29">
        <f t="shared" si="4"/>
        <v>0.1380131119</v>
      </c>
      <c r="N29" s="29">
        <f t="shared" si="5"/>
        <v>0.1906925178</v>
      </c>
      <c r="P29" s="76" t="s">
        <v>437</v>
      </c>
      <c r="Q29" s="71">
        <f t="shared" si="6"/>
        <v>0.01078327732</v>
      </c>
      <c r="R29" s="71">
        <f t="shared" si="7"/>
        <v>0.06509445549</v>
      </c>
      <c r="S29" s="71">
        <f t="shared" si="8"/>
        <v>0.02534897002</v>
      </c>
      <c r="T29" s="71">
        <f t="shared" si="9"/>
        <v>0.01380131119</v>
      </c>
      <c r="U29" s="71">
        <f t="shared" si="10"/>
        <v>0.07627700714</v>
      </c>
      <c r="V29" s="72"/>
      <c r="W29" s="39" t="s">
        <v>438</v>
      </c>
      <c r="X29" s="29">
        <f t="shared" si="11"/>
        <v>0.07623999086</v>
      </c>
      <c r="Y29" s="73">
        <f t="shared" si="12"/>
        <v>0.03872527873</v>
      </c>
      <c r="Z29" s="68"/>
      <c r="AA29" s="76" t="s">
        <v>439</v>
      </c>
      <c r="AB29" s="74">
        <f t="shared" si="13"/>
        <v>0.336843282</v>
      </c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</row>
    <row r="31">
      <c r="B31" s="36" t="s">
        <v>307</v>
      </c>
      <c r="C31" s="82">
        <f t="shared" ref="C31:G31" si="14">SUMPRODUCT(C6:C29^2)</f>
        <v>86</v>
      </c>
      <c r="D31" s="82">
        <f t="shared" si="14"/>
        <v>59</v>
      </c>
      <c r="E31" s="82">
        <f t="shared" si="14"/>
        <v>249</v>
      </c>
      <c r="F31" s="82">
        <f t="shared" si="14"/>
        <v>210</v>
      </c>
      <c r="G31" s="82">
        <f t="shared" si="14"/>
        <v>440</v>
      </c>
      <c r="P31" s="36" t="s">
        <v>308</v>
      </c>
      <c r="Q31" s="82">
        <f>MAX(Q6:Q29)</f>
        <v>0.01617491598</v>
      </c>
      <c r="R31" s="82">
        <f>MIN(R5:R28)</f>
        <v>0.03254722775</v>
      </c>
      <c r="S31" s="82">
        <f>MAX(S6:S29)</f>
        <v>0.06337242505</v>
      </c>
      <c r="T31" s="82">
        <f>MAX(Q6:Q29)</f>
        <v>0.01617491598</v>
      </c>
      <c r="U31" s="82">
        <f>MIN(U5:U28)</f>
        <v>0.01906925178</v>
      </c>
    </row>
    <row r="32">
      <c r="B32" s="36" t="s">
        <v>307</v>
      </c>
      <c r="C32" s="82">
        <f t="shared" ref="C32:G32" si="15">SQRT(SUMPRODUCT(C6:C29^2))</f>
        <v>9.273618495</v>
      </c>
      <c r="D32" s="82">
        <f t="shared" si="15"/>
        <v>7.681145748</v>
      </c>
      <c r="E32" s="82">
        <f t="shared" si="15"/>
        <v>15.77973384</v>
      </c>
      <c r="F32" s="82">
        <f t="shared" si="15"/>
        <v>14.49137675</v>
      </c>
      <c r="G32" s="82">
        <f t="shared" si="15"/>
        <v>20.97617696</v>
      </c>
      <c r="P32" s="36" t="s">
        <v>309</v>
      </c>
      <c r="Q32" s="82">
        <f>MIN(Q6:Q29)</f>
        <v>0.00539163866</v>
      </c>
      <c r="R32" s="82">
        <f>MAX(R6:R29)</f>
        <v>0.09764168324</v>
      </c>
      <c r="S32" s="82">
        <f t="shared" ref="S32:T32" si="16">MIN(S6:S29)</f>
        <v>0.02534897002</v>
      </c>
      <c r="T32" s="82">
        <f t="shared" si="16"/>
        <v>0.006900655593</v>
      </c>
      <c r="U32" s="82">
        <f>MAX(U6:U29)</f>
        <v>0.09534625892</v>
      </c>
    </row>
  </sheetData>
  <mergeCells count="6">
    <mergeCell ref="B2:G3"/>
    <mergeCell ref="I2:N3"/>
    <mergeCell ref="P2:U3"/>
    <mergeCell ref="W2:Y3"/>
    <mergeCell ref="AA2:AB3"/>
    <mergeCell ref="AE8:AF8"/>
  </mergeCells>
  <hyperlinks>
    <hyperlink r:id="rId1" location="Tabel%20TKPI" ref="B4"/>
    <hyperlink r:id="rId2" location="Tabel%20TKPI" ref="C4"/>
    <hyperlink r:id="rId3" location="Tabel%20TKPI" ref="D4"/>
    <hyperlink r:id="rId4" location="Tabel%20TKPI" ref="E4"/>
    <hyperlink r:id="rId5" location="Tabel%20TKPI" ref="F4"/>
    <hyperlink r:id="rId6" location="Tabel%20TKPI" ref="G4"/>
    <hyperlink r:id="rId7" location="Tabel%20TKPI" ref="I4"/>
    <hyperlink r:id="rId8" location="Tabel%20TKPI" ref="J4"/>
    <hyperlink r:id="rId9" location="Tabel%20TKPI" ref="K4"/>
    <hyperlink r:id="rId10" location="Tabel%20TKPI" ref="L4"/>
    <hyperlink r:id="rId11" location="Tabel%20TKPI" ref="M4"/>
    <hyperlink r:id="rId12" location="Tabel%20TKPI" ref="N4"/>
    <hyperlink r:id="rId13" location="Tabel%20TKPI" ref="P4"/>
    <hyperlink r:id="rId14" location="Tabel%20TKPI" ref="Q4"/>
    <hyperlink r:id="rId15" location="Tabel%20TKPI" ref="R4"/>
    <hyperlink r:id="rId16" location="Tabel%20TKPI" ref="S4"/>
    <hyperlink r:id="rId17" location="Tabel%20TKPI" ref="T4"/>
    <hyperlink r:id="rId18" location="Tabel%20TKPI" ref="U4"/>
    <hyperlink r:id="rId19" location="Tabel%20TKPI" ref="W4"/>
    <hyperlink r:id="rId20" location="Tabel%20TKPI" ref="AA4"/>
    <hyperlink r:id="rId21" location="AndraFarm" ref="B6"/>
    <hyperlink r:id="rId22" location="AndraFarm" ref="I6"/>
    <hyperlink r:id="rId23" location="AndraFarm" ref="P6"/>
    <hyperlink r:id="rId24" location="AndraFarm" ref="W6"/>
    <hyperlink r:id="rId25" location="AndraFarm" ref="AA6"/>
    <hyperlink r:id="rId26" location="AndraFarm" ref="B7"/>
    <hyperlink r:id="rId27" location="AndraFarm" ref="I7"/>
    <hyperlink r:id="rId28" location="AndraFarm" ref="P7"/>
    <hyperlink r:id="rId29" location="AndraFarm" ref="W7"/>
    <hyperlink r:id="rId30" location="AndraFarm" ref="AA7"/>
    <hyperlink r:id="rId31" location="AndraFarm" ref="B8"/>
    <hyperlink r:id="rId32" location="AndraFarm" ref="I8"/>
    <hyperlink r:id="rId33" location="AndraFarm" ref="P8"/>
    <hyperlink r:id="rId34" location="AndraFarm" ref="W8"/>
    <hyperlink r:id="rId35" location="AndraFarm" ref="AA8"/>
    <hyperlink r:id="rId36" location="AndraFarm" ref="B9"/>
    <hyperlink r:id="rId37" location="AndraFarm" ref="I9"/>
    <hyperlink r:id="rId38" location="AndraFarm" ref="P9"/>
    <hyperlink r:id="rId39" location="AndraFarm" ref="W9"/>
    <hyperlink r:id="rId40" location="AndraFarm" ref="AA9"/>
    <hyperlink r:id="rId41" location="AndraFarm" ref="B10"/>
    <hyperlink r:id="rId42" location="AndraFarm" ref="I10"/>
    <hyperlink r:id="rId43" location="AndraFarm" ref="P10"/>
    <hyperlink r:id="rId44" location="AndraFarm" ref="W10"/>
    <hyperlink r:id="rId45" location="AndraFarm" ref="AA10"/>
    <hyperlink r:id="rId46" location="AndraFarm" ref="AE10"/>
    <hyperlink r:id="rId47" location="AndraFarm" ref="B11"/>
    <hyperlink r:id="rId48" location="AndraFarm" ref="I11"/>
    <hyperlink r:id="rId49" location="AndraFarm" ref="P11"/>
    <hyperlink r:id="rId50" location="AndraFarm" ref="W11"/>
    <hyperlink r:id="rId51" location="AndraFarm" ref="AA11"/>
    <hyperlink r:id="rId52" location="AndraFarm" ref="AE11"/>
    <hyperlink r:id="rId53" location="AndraFarm" ref="B12"/>
    <hyperlink r:id="rId54" location="AndraFarm" ref="I12"/>
    <hyperlink r:id="rId55" location="AndraFarm" ref="P12"/>
    <hyperlink r:id="rId56" location="AndraFarm" ref="W12"/>
    <hyperlink r:id="rId57" location="AndraFarm" ref="AA12"/>
    <hyperlink r:id="rId58" location="AndraFarm" ref="AE12"/>
    <hyperlink r:id="rId59" location="AndraFarm" ref="B13"/>
    <hyperlink r:id="rId60" location="AndraFarm" ref="I13"/>
    <hyperlink r:id="rId61" location="AndraFarm" ref="P13"/>
    <hyperlink r:id="rId62" location="AndraFarm" ref="W13"/>
    <hyperlink r:id="rId63" location="AndraFarm" ref="AA13"/>
    <hyperlink r:id="rId64" location="AndraFarm" ref="AE13"/>
    <hyperlink r:id="rId65" location="AndraFarm" ref="B14"/>
    <hyperlink r:id="rId66" location="AndraFarm" ref="I14"/>
    <hyperlink r:id="rId67" location="AndraFarm" ref="P14"/>
    <hyperlink r:id="rId68" location="AndraFarm" ref="W14"/>
    <hyperlink r:id="rId69" location="AndraFarm" ref="AA14"/>
    <hyperlink r:id="rId70" location="AndraFarm" ref="B15"/>
    <hyperlink r:id="rId71" location="AndraFarm" ref="I15"/>
    <hyperlink r:id="rId72" location="AndraFarm" ref="P15"/>
    <hyperlink r:id="rId73" location="AndraFarm" ref="W15"/>
    <hyperlink r:id="rId74" location="AndraFarm" ref="AA15"/>
    <hyperlink r:id="rId75" location="AndraFarm" ref="B16"/>
    <hyperlink r:id="rId76" location="AndraFarm" ref="I16"/>
    <hyperlink r:id="rId77" location="AndraFarm" ref="P16"/>
    <hyperlink r:id="rId78" location="AndraFarm" ref="W16"/>
    <hyperlink r:id="rId79" location="AndraFarm" ref="AA16"/>
    <hyperlink r:id="rId80" location="AndraFarm" ref="B17"/>
    <hyperlink r:id="rId81" location="AndraFarm" ref="I17"/>
    <hyperlink r:id="rId82" location="AndraFarm" ref="P17"/>
    <hyperlink r:id="rId83" location="AndraFarm" ref="W17"/>
    <hyperlink r:id="rId84" location="AndraFarm" ref="AA17"/>
    <hyperlink r:id="rId85" location="AndraFarm" ref="B18"/>
    <hyperlink r:id="rId86" location="AndraFarm" ref="I18"/>
    <hyperlink r:id="rId87" location="AndraFarm" ref="P18"/>
    <hyperlink r:id="rId88" location="AndraFarm" ref="W18"/>
    <hyperlink r:id="rId89" location="AndraFarm" ref="AA18"/>
    <hyperlink r:id="rId90" location="AndraFarm" ref="B19"/>
    <hyperlink r:id="rId91" location="AndraFarm" ref="I19"/>
    <hyperlink r:id="rId92" location="AndraFarm" ref="P19"/>
    <hyperlink r:id="rId93" location="AndraFarm" ref="W19"/>
    <hyperlink r:id="rId94" location="AndraFarm" ref="AA19"/>
    <hyperlink r:id="rId95" location="AndraFarm" ref="B20"/>
    <hyperlink r:id="rId96" location="AndraFarm" ref="I20"/>
    <hyperlink r:id="rId97" location="AndraFarm" ref="P20"/>
    <hyperlink r:id="rId98" location="AndraFarm" ref="W20"/>
    <hyperlink r:id="rId99" location="AndraFarm" ref="AA20"/>
    <hyperlink r:id="rId100" location="AndraFarm" ref="B21"/>
    <hyperlink r:id="rId101" location="AndraFarm" ref="I21"/>
    <hyperlink r:id="rId102" location="AndraFarm" ref="P21"/>
    <hyperlink r:id="rId103" location="AndraFarm" ref="W21"/>
    <hyperlink r:id="rId104" location="AndraFarm" ref="AA21"/>
    <hyperlink r:id="rId105" location="AndraFarm" ref="B22"/>
    <hyperlink r:id="rId106" location="AndraFarm" ref="I22"/>
    <hyperlink r:id="rId107" location="AndraFarm" ref="P22"/>
    <hyperlink r:id="rId108" location="AndraFarm" ref="W22"/>
    <hyperlink r:id="rId109" location="AndraFarm" ref="AA22"/>
    <hyperlink r:id="rId110" location="AndraFarm" ref="B23"/>
    <hyperlink r:id="rId111" location="AndraFarm" ref="I23"/>
    <hyperlink r:id="rId112" location="AndraFarm" ref="P23"/>
    <hyperlink r:id="rId113" location="AndraFarm" ref="W23"/>
    <hyperlink r:id="rId114" location="AndraFarm" ref="AA23"/>
    <hyperlink r:id="rId115" location="AndraFarm" ref="B24"/>
    <hyperlink r:id="rId116" location="AndraFarm" ref="I24"/>
    <hyperlink r:id="rId117" location="AndraFarm" ref="P24"/>
    <hyperlink r:id="rId118" location="AndraFarm" ref="W24"/>
    <hyperlink r:id="rId119" location="AndraFarm" ref="AA24"/>
    <hyperlink r:id="rId120" location="AndraFarm" ref="B25"/>
    <hyperlink r:id="rId121" location="AndraFarm" ref="I25"/>
    <hyperlink r:id="rId122" location="AndraFarm" ref="P25"/>
    <hyperlink r:id="rId123" location="AndraFarm" ref="W25"/>
    <hyperlink r:id="rId124" location="AndraFarm" ref="AA25"/>
    <hyperlink r:id="rId125" location="AndraFarm" ref="B26"/>
    <hyperlink r:id="rId126" location="AndraFarm" ref="I26"/>
    <hyperlink r:id="rId127" location="AndraFarm" ref="P26"/>
    <hyperlink r:id="rId128" location="AndraFarm" ref="W26"/>
    <hyperlink r:id="rId129" location="AndraFarm" ref="AA26"/>
    <hyperlink r:id="rId130" location="AndraFarm" ref="B27"/>
    <hyperlink r:id="rId131" location="AndraFarm" ref="I27"/>
    <hyperlink r:id="rId132" location="AndraFarm" ref="P27"/>
    <hyperlink r:id="rId133" location="AndraFarm" ref="W27"/>
    <hyperlink r:id="rId134" location="AndraFarm" ref="AA27"/>
    <hyperlink r:id="rId135" location="AndraFarm" ref="B28"/>
    <hyperlink r:id="rId136" location="AndraFarm" ref="I28"/>
    <hyperlink r:id="rId137" location="AndraFarm" ref="P28"/>
    <hyperlink r:id="rId138" location="AndraFarm" ref="W28"/>
    <hyperlink r:id="rId139" location="AndraFarm" ref="AA28"/>
    <hyperlink r:id="rId140" location="AndraFarm" ref="B29"/>
    <hyperlink r:id="rId141" location="AndraFarm" ref="I29"/>
    <hyperlink r:id="rId142" location="AndraFarm" ref="P29"/>
    <hyperlink r:id="rId143" location="AndraFarm" ref="W29"/>
    <hyperlink r:id="rId144" location="AndraFarm" ref="AA29"/>
  </hyperlinks>
  <drawing r:id="rId14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0" max="30" width="32.25"/>
  </cols>
  <sheetData>
    <row r="2">
      <c r="B2" s="49" t="s">
        <v>168</v>
      </c>
      <c r="I2" s="49" t="s">
        <v>440</v>
      </c>
      <c r="P2" s="49" t="s">
        <v>441</v>
      </c>
      <c r="V2" s="49"/>
      <c r="W2" s="49" t="s">
        <v>171</v>
      </c>
      <c r="Z2" s="49"/>
      <c r="AA2" s="50" t="s">
        <v>172</v>
      </c>
      <c r="AC2" s="50"/>
      <c r="AD2" s="49"/>
      <c r="AE2" s="49"/>
      <c r="AF2" s="49"/>
      <c r="AG2" s="49"/>
      <c r="AH2" s="49"/>
      <c r="AI2" s="49"/>
    </row>
    <row r="3">
      <c r="V3" s="49"/>
      <c r="Z3" s="49"/>
      <c r="AC3" s="50"/>
      <c r="AD3" s="49"/>
      <c r="AE3" s="49"/>
      <c r="AF3" s="49"/>
      <c r="AG3" s="49"/>
      <c r="AH3" s="49"/>
      <c r="AI3" s="49"/>
    </row>
    <row r="4">
      <c r="B4" s="51" t="s">
        <v>442</v>
      </c>
      <c r="C4" s="52" t="s">
        <v>2</v>
      </c>
      <c r="D4" s="53" t="s">
        <v>1</v>
      </c>
      <c r="E4" s="52" t="s">
        <v>0</v>
      </c>
      <c r="F4" s="52" t="s">
        <v>3</v>
      </c>
      <c r="G4" s="53" t="s">
        <v>4</v>
      </c>
      <c r="I4" s="51" t="s">
        <v>443</v>
      </c>
      <c r="J4" s="52" t="s">
        <v>2</v>
      </c>
      <c r="K4" s="53" t="s">
        <v>1</v>
      </c>
      <c r="L4" s="52" t="s">
        <v>0</v>
      </c>
      <c r="M4" s="52" t="s">
        <v>3</v>
      </c>
      <c r="N4" s="53" t="s">
        <v>4</v>
      </c>
      <c r="P4" s="51" t="s">
        <v>444</v>
      </c>
      <c r="Q4" s="85" t="s">
        <v>445</v>
      </c>
      <c r="R4" s="86" t="s">
        <v>446</v>
      </c>
      <c r="S4" s="85" t="s">
        <v>447</v>
      </c>
      <c r="T4" s="85" t="s">
        <v>448</v>
      </c>
      <c r="U4" s="86" t="s">
        <v>449</v>
      </c>
      <c r="V4" s="60"/>
      <c r="W4" s="51" t="s">
        <v>450</v>
      </c>
      <c r="X4" s="58" t="s">
        <v>182</v>
      </c>
      <c r="Y4" s="59" t="s">
        <v>183</v>
      </c>
      <c r="Z4" s="60"/>
      <c r="AA4" s="54" t="s">
        <v>451</v>
      </c>
      <c r="AB4" s="61" t="s">
        <v>185</v>
      </c>
      <c r="AC4" s="57"/>
      <c r="AD4" s="60"/>
      <c r="AE4" s="60"/>
      <c r="AF4" s="60"/>
      <c r="AG4" s="60"/>
      <c r="AH4" s="60"/>
      <c r="AI4" s="60"/>
    </row>
    <row r="5">
      <c r="B5" s="36"/>
      <c r="C5" s="17" t="s">
        <v>38</v>
      </c>
      <c r="D5" s="17" t="s">
        <v>38</v>
      </c>
      <c r="E5" s="17" t="s">
        <v>38</v>
      </c>
      <c r="F5" s="17" t="s">
        <v>38</v>
      </c>
      <c r="G5" s="17" t="s">
        <v>39</v>
      </c>
      <c r="I5" s="36"/>
      <c r="J5" s="17" t="s">
        <v>38</v>
      </c>
      <c r="K5" s="17" t="s">
        <v>38</v>
      </c>
      <c r="L5" s="17" t="s">
        <v>38</v>
      </c>
      <c r="M5" s="17" t="s">
        <v>38</v>
      </c>
      <c r="N5" s="17" t="s">
        <v>39</v>
      </c>
      <c r="P5" s="36"/>
      <c r="Q5" s="17" t="s">
        <v>38</v>
      </c>
      <c r="R5" s="17" t="s">
        <v>38</v>
      </c>
      <c r="S5" s="17" t="s">
        <v>38</v>
      </c>
      <c r="T5" s="66" t="s">
        <v>38</v>
      </c>
      <c r="U5" s="17" t="s">
        <v>39</v>
      </c>
      <c r="V5" s="68"/>
      <c r="X5" s="66"/>
      <c r="Y5" s="67"/>
      <c r="Z5" s="68"/>
      <c r="AA5" s="62"/>
      <c r="AB5" s="69"/>
      <c r="AC5" s="57"/>
      <c r="AD5" s="68"/>
      <c r="AE5" s="68"/>
      <c r="AF5" s="68"/>
      <c r="AG5" s="68"/>
      <c r="AH5" s="68"/>
      <c r="AI5" s="68"/>
    </row>
    <row r="6">
      <c r="B6" s="37" t="s">
        <v>452</v>
      </c>
      <c r="C6" s="29">
        <f>IFS('data clean'!C7&lt;=1, 1, 'data clean'!C7&lt;=25, 2, 'data clean'!C7&lt;=50, 3, 'data clean'!C7&lt;=75, 4, TRUE, 5)</f>
        <v>2</v>
      </c>
      <c r="D6" s="29">
        <f>IFS('data clean'!D7&lt;=1, 1, 'data clean'!D7&lt;=25, 2, 'data clean'!D7&lt;=50, 3, 'data clean'!D7&lt;=75, 4, TRUE, 5)</f>
        <v>1</v>
      </c>
      <c r="E6" s="29">
        <f>IFS('data clean'!E7&lt;=1, 1, 'data clean'!E7&lt;=25, 2, 'data clean'!E7&lt;=50, 3, 'data clean'!E7&lt;=75, 4, TRUE, 5)</f>
        <v>3</v>
      </c>
      <c r="F6" s="29">
        <f>IFS('data clean'!F7&lt;=1, 1, 'data clean'!F7&lt;=3, 2, 'data clean'!F7&lt;=5, 3, 'data clean'!F7&lt;=7, 4, TRUE, 5)</f>
        <v>1</v>
      </c>
      <c r="G6" s="29">
        <f>IFS('data clean'!G7&lt;=100, 5, 'data clean'!G7&lt;=200, 4, 'data clean'!G7&lt;=350, 3, 'data clean'!G7&lt;=500, 2, TRUE, 1)</f>
        <v>5</v>
      </c>
      <c r="I6" s="37" t="s">
        <v>453</v>
      </c>
      <c r="J6" s="29">
        <f t="shared" ref="J6:J57" si="1">C6/$C$61</f>
        <v>0.1439631501</v>
      </c>
      <c r="K6" s="29">
        <f t="shared" ref="K6:K57" si="2">D6/$D$61</f>
        <v>0.07738232325</v>
      </c>
      <c r="L6" s="29">
        <f t="shared" ref="L6:L57" si="3">E6/$E$61</f>
        <v>0.1519109051</v>
      </c>
      <c r="M6" s="29">
        <f t="shared" ref="M6:M57" si="4">F6/$F$61</f>
        <v>0.05096471914</v>
      </c>
      <c r="N6" s="29">
        <f t="shared" ref="N6:N57" si="5">G6/$G$61</f>
        <v>0.1598823698</v>
      </c>
      <c r="P6" s="37" t="s">
        <v>454</v>
      </c>
      <c r="Q6" s="29">
        <f t="shared" ref="Q6:Q57" si="6">J6*4</f>
        <v>0.5758526006</v>
      </c>
      <c r="R6" s="29">
        <f t="shared" ref="R6:R57" si="7">K6*3</f>
        <v>0.2321469698</v>
      </c>
      <c r="S6" s="29">
        <f t="shared" ref="S6:S57" si="8">L6*2</f>
        <v>0.3038218101</v>
      </c>
      <c r="T6" s="29">
        <f t="shared" ref="T6:T57" si="9">M6*4</f>
        <v>0.2038588766</v>
      </c>
      <c r="U6" s="29">
        <f t="shared" ref="U6:U57" si="10">N6*5</f>
        <v>0.7994118492</v>
      </c>
      <c r="V6" s="87"/>
      <c r="W6" s="37" t="s">
        <v>455</v>
      </c>
      <c r="X6" s="29">
        <f t="shared" ref="X6:X57" si="11">SQRT(SUMPRODUCT((Q6:U6 - Q$60:U$60)^2))</f>
        <v>1.128668331</v>
      </c>
      <c r="Y6" s="73">
        <f t="shared" ref="Y6:Y57" si="12">SQRT(SUMPRODUCT((Q6:U6 - Q$61:U$61)^2))</f>
        <v>0.7086296068</v>
      </c>
      <c r="Z6" s="68"/>
      <c r="AA6" s="70" t="s">
        <v>456</v>
      </c>
      <c r="AB6" s="74">
        <f t="shared" ref="AB6:AB57" si="13">Y6 / (X6 + Y6)</f>
        <v>0.3856911785</v>
      </c>
      <c r="AC6" s="57"/>
      <c r="AD6" s="61" t="s">
        <v>201</v>
      </c>
      <c r="AE6" s="77"/>
      <c r="AF6" s="68"/>
      <c r="AG6" s="68"/>
      <c r="AH6" s="68"/>
      <c r="AI6" s="68"/>
    </row>
    <row r="7">
      <c r="B7" s="38" t="s">
        <v>457</v>
      </c>
      <c r="C7" s="29">
        <f>IFS('data clean'!C8&lt;=1, 1, 'data clean'!C8&lt;=25, 2, 'data clean'!C8&lt;=50, 3, 'data clean'!C8&lt;=75, 4, TRUE, 5)</f>
        <v>2</v>
      </c>
      <c r="D7" s="29">
        <f>IFS('data clean'!D8&lt;=1, 1, 'data clean'!D8&lt;=25, 2, 'data clean'!D8&lt;=50, 3, 'data clean'!D8&lt;=75, 4, TRUE, 5)</f>
        <v>2</v>
      </c>
      <c r="E7" s="29">
        <f>IFS('data clean'!E8&lt;=1, 1, 'data clean'!E8&lt;=25, 2, 'data clean'!E8&lt;=50, 3, 'data clean'!E8&lt;=75, 4, TRUE, 5)</f>
        <v>5</v>
      </c>
      <c r="F7" s="29">
        <f>IFS('data clean'!F8&lt;=1, 1, 'data clean'!F8&lt;=3, 2, 'data clean'!F8&lt;=5, 3, 'data clean'!F8&lt;=7, 4, TRUE, 5)</f>
        <v>2</v>
      </c>
      <c r="G7" s="29">
        <f>IFS('data clean'!G8&lt;=100, 5, 'data clean'!G8&lt;=200, 4, 'data clean'!G8&lt;=350, 3, 'data clean'!G8&lt;=500, 2, TRUE, 1)</f>
        <v>3</v>
      </c>
      <c r="I7" s="38" t="s">
        <v>458</v>
      </c>
      <c r="J7" s="29">
        <f t="shared" si="1"/>
        <v>0.1439631501</v>
      </c>
      <c r="K7" s="29">
        <f t="shared" si="2"/>
        <v>0.1547646465</v>
      </c>
      <c r="L7" s="29">
        <f t="shared" si="3"/>
        <v>0.2531848418</v>
      </c>
      <c r="M7" s="29">
        <f t="shared" si="4"/>
        <v>0.1019294383</v>
      </c>
      <c r="N7" s="29">
        <f t="shared" si="5"/>
        <v>0.09592942191</v>
      </c>
      <c r="P7" s="38" t="s">
        <v>459</v>
      </c>
      <c r="Q7" s="29">
        <f t="shared" si="6"/>
        <v>0.5758526006</v>
      </c>
      <c r="R7" s="29">
        <f t="shared" si="7"/>
        <v>0.4642939395</v>
      </c>
      <c r="S7" s="29">
        <f t="shared" si="8"/>
        <v>0.5063696835</v>
      </c>
      <c r="T7" s="29">
        <f t="shared" si="9"/>
        <v>0.4077177532</v>
      </c>
      <c r="U7" s="29">
        <f t="shared" si="10"/>
        <v>0.4796471095</v>
      </c>
      <c r="V7" s="87"/>
      <c r="W7" s="38" t="s">
        <v>460</v>
      </c>
      <c r="X7" s="29">
        <f t="shared" si="11"/>
        <v>0.8801965005</v>
      </c>
      <c r="Y7" s="73">
        <f t="shared" si="12"/>
        <v>0.6106630762</v>
      </c>
      <c r="Z7" s="68"/>
      <c r="AA7" s="75" t="s">
        <v>461</v>
      </c>
      <c r="AB7" s="74">
        <f t="shared" si="13"/>
        <v>0.409604691</v>
      </c>
      <c r="AC7" s="57"/>
      <c r="AD7" s="78" t="str">
        <f>IFERROR(__xludf.DUMMYFUNCTION("SORTN(AA6:AB29, 5, 0, AB6:AB29, FALSE)"),"Kacang kedelai, goreng")</f>
        <v>Kacang kedelai, goreng</v>
      </c>
      <c r="AE7" s="68">
        <f>IFERROR(__xludf.DUMMYFUNCTION("""COMPUTED_VALUE"""),0.7690482939784103)</f>
        <v>0.769048294</v>
      </c>
      <c r="AF7" s="68"/>
      <c r="AG7" s="68"/>
      <c r="AH7" s="68"/>
      <c r="AI7" s="68"/>
    </row>
    <row r="8">
      <c r="B8" s="39" t="s">
        <v>462</v>
      </c>
      <c r="C8" s="29">
        <f>IFS('data clean'!C9&lt;=1, 1, 'data clean'!C9&lt;=25, 2, 'data clean'!C9&lt;=50, 3, 'data clean'!C9&lt;=75, 4, TRUE, 5)</f>
        <v>2</v>
      </c>
      <c r="D8" s="29">
        <f>IFS('data clean'!D9&lt;=1, 1, 'data clean'!D9&lt;=25, 2, 'data clean'!D9&lt;=50, 3, 'data clean'!D9&lt;=75, 4, TRUE, 5)</f>
        <v>1</v>
      </c>
      <c r="E8" s="29">
        <f>IFS('data clean'!E9&lt;=1, 1, 'data clean'!E9&lt;=25, 2, 'data clean'!E9&lt;=50, 3, 'data clean'!E9&lt;=75, 4, TRUE, 5)</f>
        <v>2</v>
      </c>
      <c r="F8" s="29">
        <f>IFS('data clean'!F9&lt;=1, 1, 'data clean'!F9&lt;=3, 2, 'data clean'!F9&lt;=5, 3, 'data clean'!F9&lt;=7, 4, TRUE, 5)</f>
        <v>5</v>
      </c>
      <c r="G8" s="29">
        <f>IFS('data clean'!G9&lt;=100, 5, 'data clean'!G9&lt;=200, 4, 'data clean'!G9&lt;=350, 3, 'data clean'!G9&lt;=500, 2, TRUE, 1)</f>
        <v>2</v>
      </c>
      <c r="I8" s="39" t="s">
        <v>463</v>
      </c>
      <c r="J8" s="29">
        <f t="shared" si="1"/>
        <v>0.1439631501</v>
      </c>
      <c r="K8" s="29">
        <f t="shared" si="2"/>
        <v>0.07738232325</v>
      </c>
      <c r="L8" s="29">
        <f t="shared" si="3"/>
        <v>0.1012739367</v>
      </c>
      <c r="M8" s="29">
        <f t="shared" si="4"/>
        <v>0.2548235957</v>
      </c>
      <c r="N8" s="29">
        <f t="shared" si="5"/>
        <v>0.06395294794</v>
      </c>
      <c r="P8" s="39" t="s">
        <v>464</v>
      </c>
      <c r="Q8" s="29">
        <f t="shared" si="6"/>
        <v>0.5758526006</v>
      </c>
      <c r="R8" s="29">
        <f t="shared" si="7"/>
        <v>0.2321469698</v>
      </c>
      <c r="S8" s="29">
        <f t="shared" si="8"/>
        <v>0.2025478734</v>
      </c>
      <c r="T8" s="29">
        <f t="shared" si="9"/>
        <v>1.019294383</v>
      </c>
      <c r="U8" s="29">
        <f t="shared" si="10"/>
        <v>0.3197647397</v>
      </c>
      <c r="V8" s="87"/>
      <c r="W8" s="39" t="s">
        <v>465</v>
      </c>
      <c r="X8" s="29">
        <f t="shared" si="11"/>
        <v>0.9435573838</v>
      </c>
      <c r="Y8" s="73">
        <f t="shared" si="12"/>
        <v>0.8794310613</v>
      </c>
      <c r="Z8" s="68"/>
      <c r="AA8" s="76" t="s">
        <v>466</v>
      </c>
      <c r="AB8" s="74">
        <f t="shared" si="13"/>
        <v>0.4824117584</v>
      </c>
      <c r="AC8" s="57"/>
      <c r="AD8" s="88" t="str">
        <f>IFERROR(__xludf.DUMMYFUNCTION("""COMPUTED_VALUE"""),"Beras jagung kuning, kering, mentah")</f>
        <v>Beras jagung kuning, kering, mentah</v>
      </c>
      <c r="AE8" s="68">
        <f>IFERROR(__xludf.DUMMYFUNCTION("""COMPUTED_VALUE"""),0.5972706956863015)</f>
        <v>0.5972706957</v>
      </c>
      <c r="AF8" s="68"/>
      <c r="AG8" s="68"/>
      <c r="AH8" s="68"/>
      <c r="AI8" s="68"/>
    </row>
    <row r="9">
      <c r="B9" s="38" t="s">
        <v>467</v>
      </c>
      <c r="C9" s="29">
        <f>IFS('data clean'!C10&lt;=1, 1, 'data clean'!C10&lt;=25, 2, 'data clean'!C10&lt;=50, 3, 'data clean'!C10&lt;=75, 4, TRUE, 5)</f>
        <v>2</v>
      </c>
      <c r="D9" s="29">
        <f>IFS('data clean'!D10&lt;=1, 1, 'data clean'!D10&lt;=25, 2, 'data clean'!D10&lt;=50, 3, 'data clean'!D10&lt;=75, 4, TRUE, 5)</f>
        <v>2</v>
      </c>
      <c r="E9" s="29">
        <f>IFS('data clean'!E10&lt;=1, 1, 'data clean'!E10&lt;=25, 2, 'data clean'!E10&lt;=50, 3, 'data clean'!E10&lt;=75, 4, TRUE, 5)</f>
        <v>2</v>
      </c>
      <c r="F9" s="29">
        <f>IFS('data clean'!F10&lt;=1, 1, 'data clean'!F10&lt;=3, 2, 'data clean'!F10&lt;=5, 3, 'data clean'!F10&lt;=7, 4, TRUE, 5)</f>
        <v>1</v>
      </c>
      <c r="G9" s="29">
        <f>IFS('data clean'!G10&lt;=100, 5, 'data clean'!G10&lt;=200, 4, 'data clean'!G10&lt;=350, 3, 'data clean'!G10&lt;=500, 2, TRUE, 1)</f>
        <v>1</v>
      </c>
      <c r="I9" s="38" t="s">
        <v>468</v>
      </c>
      <c r="J9" s="29">
        <f t="shared" si="1"/>
        <v>0.1439631501</v>
      </c>
      <c r="K9" s="29">
        <f t="shared" si="2"/>
        <v>0.1547646465</v>
      </c>
      <c r="L9" s="29">
        <f t="shared" si="3"/>
        <v>0.1012739367</v>
      </c>
      <c r="M9" s="29">
        <f t="shared" si="4"/>
        <v>0.05096471914</v>
      </c>
      <c r="N9" s="29">
        <f t="shared" si="5"/>
        <v>0.03197647397</v>
      </c>
      <c r="P9" s="38" t="s">
        <v>469</v>
      </c>
      <c r="Q9" s="29">
        <f t="shared" si="6"/>
        <v>0.5758526006</v>
      </c>
      <c r="R9" s="29">
        <f t="shared" si="7"/>
        <v>0.4642939395</v>
      </c>
      <c r="S9" s="29">
        <f t="shared" si="8"/>
        <v>0.2025478734</v>
      </c>
      <c r="T9" s="29">
        <f t="shared" si="9"/>
        <v>0.2038588766</v>
      </c>
      <c r="U9" s="29">
        <f t="shared" si="10"/>
        <v>0.1598823698</v>
      </c>
      <c r="V9" s="87"/>
      <c r="W9" s="38" t="s">
        <v>470</v>
      </c>
      <c r="X9" s="29">
        <f t="shared" si="11"/>
        <v>1.210252506</v>
      </c>
      <c r="Y9" s="73">
        <f t="shared" si="12"/>
        <v>0.3698564181</v>
      </c>
      <c r="Z9" s="68"/>
      <c r="AA9" s="75" t="s">
        <v>471</v>
      </c>
      <c r="AB9" s="74">
        <f t="shared" si="13"/>
        <v>0.2340702039</v>
      </c>
      <c r="AC9" s="57"/>
      <c r="AD9" s="88" t="str">
        <f>IFERROR(__xludf.DUMMYFUNCTION("""COMPUTED_VALUE"""),"Keripik ubi")</f>
        <v>Keripik ubi</v>
      </c>
      <c r="AE9" s="68">
        <f>IFERROR(__xludf.DUMMYFUNCTION("""COMPUTED_VALUE"""),0.5915117481260409)</f>
        <v>0.5915117481</v>
      </c>
      <c r="AF9" s="68"/>
      <c r="AG9" s="68"/>
      <c r="AH9" s="68"/>
      <c r="AI9" s="68"/>
    </row>
    <row r="10">
      <c r="A10" s="22"/>
      <c r="B10" s="40" t="s">
        <v>472</v>
      </c>
      <c r="C10" s="29">
        <f>IFS('data clean'!C11&lt;=1, 1, 'data clean'!C11&lt;=25, 2, 'data clean'!C11&lt;=50, 3, 'data clean'!C11&lt;=75, 4, TRUE, 5)</f>
        <v>2</v>
      </c>
      <c r="D10" s="29">
        <f>IFS('data clean'!D11&lt;=1, 1, 'data clean'!D11&lt;=25, 2, 'data clean'!D11&lt;=50, 3, 'data clean'!D11&lt;=75, 4, TRUE, 5)</f>
        <v>2</v>
      </c>
      <c r="E10" s="29">
        <f>IFS('data clean'!E11&lt;=1, 1, 'data clean'!E11&lt;=25, 2, 'data clean'!E11&lt;=50, 3, 'data clean'!E11&lt;=75, 4, TRUE, 5)</f>
        <v>5</v>
      </c>
      <c r="F10" s="29">
        <f>IFS('data clean'!F11&lt;=1, 1, 'data clean'!F11&lt;=3, 2, 'data clean'!F11&lt;=5, 3, 'data clean'!F11&lt;=7, 4, TRUE, 5)</f>
        <v>1</v>
      </c>
      <c r="G10" s="29">
        <f>IFS('data clean'!G11&lt;=100, 5, 'data clean'!G11&lt;=200, 4, 'data clean'!G11&lt;=350, 3, 'data clean'!G11&lt;=500, 2, TRUE, 1)</f>
        <v>5</v>
      </c>
      <c r="H10" s="22"/>
      <c r="I10" s="40" t="s">
        <v>473</v>
      </c>
      <c r="J10" s="29">
        <f t="shared" si="1"/>
        <v>0.1439631501</v>
      </c>
      <c r="K10" s="29">
        <f t="shared" si="2"/>
        <v>0.1547646465</v>
      </c>
      <c r="L10" s="29">
        <f t="shared" si="3"/>
        <v>0.2531848418</v>
      </c>
      <c r="M10" s="29">
        <f t="shared" si="4"/>
        <v>0.05096471914</v>
      </c>
      <c r="N10" s="29">
        <f t="shared" si="5"/>
        <v>0.1598823698</v>
      </c>
      <c r="O10" s="22"/>
      <c r="P10" s="40" t="s">
        <v>474</v>
      </c>
      <c r="Q10" s="29">
        <f t="shared" si="6"/>
        <v>0.5758526006</v>
      </c>
      <c r="R10" s="29">
        <f t="shared" si="7"/>
        <v>0.4642939395</v>
      </c>
      <c r="S10" s="29">
        <f t="shared" si="8"/>
        <v>0.5063696835</v>
      </c>
      <c r="T10" s="29">
        <f t="shared" si="9"/>
        <v>0.2038588766</v>
      </c>
      <c r="U10" s="29">
        <f t="shared" si="10"/>
        <v>0.7994118492</v>
      </c>
      <c r="V10" s="87"/>
      <c r="W10" s="40" t="s">
        <v>475</v>
      </c>
      <c r="X10" s="29">
        <f t="shared" si="11"/>
        <v>0.9815322112</v>
      </c>
      <c r="Y10" s="73">
        <f t="shared" si="12"/>
        <v>0.7988112526</v>
      </c>
      <c r="Z10" s="68"/>
      <c r="AA10" s="79" t="s">
        <v>476</v>
      </c>
      <c r="AB10" s="74">
        <f t="shared" si="13"/>
        <v>0.4486837899</v>
      </c>
      <c r="AC10" s="57"/>
      <c r="AD10" s="88" t="str">
        <f>IFERROR(__xludf.DUMMYFUNCTION("""COMPUTED_VALUE"""),"Batatas tali, ubi, rebus")</f>
        <v>Batatas tali, ubi, rebus</v>
      </c>
      <c r="AE10" s="68">
        <f>IFERROR(__xludf.DUMMYFUNCTION("""COMPUTED_VALUE"""),0.5806058254815614)</f>
        <v>0.5806058255</v>
      </c>
      <c r="AF10" s="68"/>
      <c r="AG10" s="68"/>
      <c r="AH10" s="68"/>
      <c r="AI10" s="68"/>
    </row>
    <row r="11">
      <c r="A11" s="22"/>
      <c r="B11" s="41" t="s">
        <v>477</v>
      </c>
      <c r="C11" s="29">
        <f>IFS('data clean'!C12&lt;=1, 1, 'data clean'!C12&lt;=25, 2, 'data clean'!C12&lt;=50, 3, 'data clean'!C12&lt;=75, 4, TRUE, 5)</f>
        <v>2</v>
      </c>
      <c r="D11" s="29">
        <f>IFS('data clean'!D12&lt;=1, 1, 'data clean'!D12&lt;=25, 2, 'data clean'!D12&lt;=50, 3, 'data clean'!D12&lt;=75, 4, TRUE, 5)</f>
        <v>1</v>
      </c>
      <c r="E11" s="29">
        <f>IFS('data clean'!E12&lt;=1, 1, 'data clean'!E12&lt;=25, 2, 'data clean'!E12&lt;=50, 3, 'data clean'!E12&lt;=75, 4, TRUE, 5)</f>
        <v>5</v>
      </c>
      <c r="F11" s="29">
        <f>IFS('data clean'!F12&lt;=1, 1, 'data clean'!F12&lt;=3, 2, 'data clean'!F12&lt;=5, 3, 'data clean'!F12&lt;=7, 4, TRUE, 5)</f>
        <v>5</v>
      </c>
      <c r="G11" s="29">
        <f>IFS('data clean'!G12&lt;=100, 5, 'data clean'!G12&lt;=200, 4, 'data clean'!G12&lt;=350, 3, 'data clean'!G12&lt;=500, 2, TRUE, 1)</f>
        <v>5</v>
      </c>
      <c r="H11" s="22"/>
      <c r="I11" s="41" t="s">
        <v>478</v>
      </c>
      <c r="J11" s="29">
        <f t="shared" si="1"/>
        <v>0.1439631501</v>
      </c>
      <c r="K11" s="29">
        <f t="shared" si="2"/>
        <v>0.07738232325</v>
      </c>
      <c r="L11" s="29">
        <f t="shared" si="3"/>
        <v>0.2531848418</v>
      </c>
      <c r="M11" s="29">
        <f t="shared" si="4"/>
        <v>0.2548235957</v>
      </c>
      <c r="N11" s="29">
        <f t="shared" si="5"/>
        <v>0.1598823698</v>
      </c>
      <c r="O11" s="22"/>
      <c r="P11" s="41" t="s">
        <v>479</v>
      </c>
      <c r="Q11" s="29">
        <f t="shared" si="6"/>
        <v>0.5758526006</v>
      </c>
      <c r="R11" s="29">
        <f t="shared" si="7"/>
        <v>0.2321469698</v>
      </c>
      <c r="S11" s="29">
        <f t="shared" si="8"/>
        <v>0.5063696835</v>
      </c>
      <c r="T11" s="29">
        <f t="shared" si="9"/>
        <v>1.019294383</v>
      </c>
      <c r="U11" s="29">
        <f t="shared" si="10"/>
        <v>0.7994118492</v>
      </c>
      <c r="V11" s="87"/>
      <c r="W11" s="41" t="s">
        <v>480</v>
      </c>
      <c r="X11" s="29">
        <f t="shared" si="11"/>
        <v>0.7536122972</v>
      </c>
      <c r="Y11" s="73">
        <f t="shared" si="12"/>
        <v>1.117650333</v>
      </c>
      <c r="Z11" s="68"/>
      <c r="AA11" s="80" t="s">
        <v>481</v>
      </c>
      <c r="AB11" s="74">
        <f t="shared" si="13"/>
        <v>0.5972706957</v>
      </c>
      <c r="AC11" s="57"/>
      <c r="AD11" s="88" t="str">
        <f>IFERROR(__xludf.DUMMYFUNCTION("""COMPUTED_VALUE"""),"Batatas kelapa, ubi, bakar")</f>
        <v>Batatas kelapa, ubi, bakar</v>
      </c>
      <c r="AE11" s="68">
        <f>IFERROR(__xludf.DUMMYFUNCTION("""COMPUTED_VALUE"""),0.5306524072353328)</f>
        <v>0.5306524072</v>
      </c>
      <c r="AF11" s="68"/>
      <c r="AG11" s="68"/>
      <c r="AH11" s="68"/>
      <c r="AI11" s="68"/>
    </row>
    <row r="12">
      <c r="B12" s="39" t="s">
        <v>482</v>
      </c>
      <c r="C12" s="29">
        <f>IFS('data clean'!C13&lt;=1, 1, 'data clean'!C13&lt;=25, 2, 'data clean'!C13&lt;=50, 3, 'data clean'!C13&lt;=75, 4, TRUE, 5)</f>
        <v>2</v>
      </c>
      <c r="D12" s="29">
        <f>IFS('data clean'!D13&lt;=1, 1, 'data clean'!D13&lt;=25, 2, 'data clean'!D13&lt;=50, 3, 'data clean'!D13&lt;=75, 4, TRUE, 5)</f>
        <v>2</v>
      </c>
      <c r="E12" s="29">
        <f>IFS('data clean'!E13&lt;=1, 1, 'data clean'!E13&lt;=25, 2, 'data clean'!E13&lt;=50, 3, 'data clean'!E13&lt;=75, 4, TRUE, 5)</f>
        <v>2</v>
      </c>
      <c r="F12" s="29">
        <f>IFS('data clean'!F13&lt;=1, 1, 'data clean'!F13&lt;=3, 2, 'data clean'!F13&lt;=5, 3, 'data clean'!F13&lt;=7, 4, TRUE, 5)</f>
        <v>3</v>
      </c>
      <c r="G12" s="29">
        <f>IFS('data clean'!G13&lt;=100, 5, 'data clean'!G13&lt;=200, 4, 'data clean'!G13&lt;=350, 3, 'data clean'!G13&lt;=500, 2, TRUE, 1)</f>
        <v>5</v>
      </c>
      <c r="I12" s="39" t="s">
        <v>483</v>
      </c>
      <c r="J12" s="29">
        <f t="shared" si="1"/>
        <v>0.1439631501</v>
      </c>
      <c r="K12" s="29">
        <f t="shared" si="2"/>
        <v>0.1547646465</v>
      </c>
      <c r="L12" s="29">
        <f t="shared" si="3"/>
        <v>0.1012739367</v>
      </c>
      <c r="M12" s="29">
        <f t="shared" si="4"/>
        <v>0.1528941574</v>
      </c>
      <c r="N12" s="29">
        <f t="shared" si="5"/>
        <v>0.1598823698</v>
      </c>
      <c r="P12" s="39" t="s">
        <v>484</v>
      </c>
      <c r="Q12" s="29">
        <f t="shared" si="6"/>
        <v>0.5758526006</v>
      </c>
      <c r="R12" s="29">
        <f t="shared" si="7"/>
        <v>0.4642939395</v>
      </c>
      <c r="S12" s="29">
        <f t="shared" si="8"/>
        <v>0.2025478734</v>
      </c>
      <c r="T12" s="29">
        <f t="shared" si="9"/>
        <v>0.6115766297</v>
      </c>
      <c r="U12" s="29">
        <f t="shared" si="10"/>
        <v>0.7994118492</v>
      </c>
      <c r="V12" s="87"/>
      <c r="W12" s="39" t="s">
        <v>485</v>
      </c>
      <c r="X12" s="29">
        <f t="shared" si="11"/>
        <v>0.746332282</v>
      </c>
      <c r="Y12" s="73">
        <f t="shared" si="12"/>
        <v>0.8438160292</v>
      </c>
      <c r="Z12" s="68"/>
      <c r="AA12" s="76" t="s">
        <v>486</v>
      </c>
      <c r="AB12" s="74">
        <f t="shared" si="13"/>
        <v>0.5306524072</v>
      </c>
      <c r="AC12" s="57"/>
      <c r="AD12" s="68"/>
      <c r="AE12" s="68"/>
      <c r="AF12" s="68"/>
      <c r="AG12" s="68"/>
      <c r="AH12" s="68"/>
      <c r="AI12" s="68"/>
    </row>
    <row r="13">
      <c r="B13" s="39" t="s">
        <v>487</v>
      </c>
      <c r="C13" s="29">
        <f>IFS('data clean'!C14&lt;=1, 1, 'data clean'!C14&lt;=25, 2, 'data clean'!C14&lt;=50, 3, 'data clean'!C14&lt;=75, 4, TRUE, 5)</f>
        <v>2</v>
      </c>
      <c r="D13" s="29">
        <f>IFS('data clean'!D14&lt;=1, 1, 'data clean'!D14&lt;=25, 2, 'data clean'!D14&lt;=50, 3, 'data clean'!D14&lt;=75, 4, TRUE, 5)</f>
        <v>1</v>
      </c>
      <c r="E13" s="29">
        <f>IFS('data clean'!E14&lt;=1, 1, 'data clean'!E14&lt;=25, 2, 'data clean'!E14&lt;=50, 3, 'data clean'!E14&lt;=75, 4, TRUE, 5)</f>
        <v>2</v>
      </c>
      <c r="F13" s="29">
        <f>IFS('data clean'!F14&lt;=1, 1, 'data clean'!F14&lt;=3, 2, 'data clean'!F14&lt;=5, 3, 'data clean'!F14&lt;=7, 4, TRUE, 5)</f>
        <v>3</v>
      </c>
      <c r="G13" s="29">
        <f>IFS('data clean'!G14&lt;=100, 5, 'data clean'!G14&lt;=200, 4, 'data clean'!G14&lt;=350, 3, 'data clean'!G14&lt;=500, 2, TRUE, 1)</f>
        <v>5</v>
      </c>
      <c r="I13" s="39" t="s">
        <v>488</v>
      </c>
      <c r="J13" s="29">
        <f t="shared" si="1"/>
        <v>0.1439631501</v>
      </c>
      <c r="K13" s="29">
        <f t="shared" si="2"/>
        <v>0.07738232325</v>
      </c>
      <c r="L13" s="29">
        <f t="shared" si="3"/>
        <v>0.1012739367</v>
      </c>
      <c r="M13" s="29">
        <f t="shared" si="4"/>
        <v>0.1528941574</v>
      </c>
      <c r="N13" s="29">
        <f t="shared" si="5"/>
        <v>0.1598823698</v>
      </c>
      <c r="P13" s="39" t="s">
        <v>489</v>
      </c>
      <c r="Q13" s="29">
        <f t="shared" si="6"/>
        <v>0.5758526006</v>
      </c>
      <c r="R13" s="29">
        <f t="shared" si="7"/>
        <v>0.2321469698</v>
      </c>
      <c r="S13" s="29">
        <f t="shared" si="8"/>
        <v>0.2025478734</v>
      </c>
      <c r="T13" s="29">
        <f t="shared" si="9"/>
        <v>0.6115766297</v>
      </c>
      <c r="U13" s="29">
        <f t="shared" si="10"/>
        <v>0.7994118492</v>
      </c>
      <c r="V13" s="87"/>
      <c r="W13" s="39" t="s">
        <v>490</v>
      </c>
      <c r="X13" s="29">
        <f t="shared" si="11"/>
        <v>0.9091055786</v>
      </c>
      <c r="Y13" s="73">
        <f t="shared" si="12"/>
        <v>0.8112541375</v>
      </c>
      <c r="Z13" s="68"/>
      <c r="AA13" s="76" t="s">
        <v>491</v>
      </c>
      <c r="AB13" s="74">
        <f t="shared" si="13"/>
        <v>0.4715607613</v>
      </c>
      <c r="AC13" s="57"/>
      <c r="AD13" s="68"/>
      <c r="AE13" s="68"/>
      <c r="AF13" s="68"/>
      <c r="AG13" s="68"/>
      <c r="AH13" s="68"/>
      <c r="AI13" s="68"/>
    </row>
    <row r="14">
      <c r="B14" s="39" t="s">
        <v>492</v>
      </c>
      <c r="C14" s="29">
        <f>IFS('data clean'!C15&lt;=1, 1, 'data clean'!C15&lt;=25, 2, 'data clean'!C15&lt;=50, 3, 'data clean'!C15&lt;=75, 4, TRUE, 5)</f>
        <v>2</v>
      </c>
      <c r="D14" s="29">
        <f>IFS('data clean'!D15&lt;=1, 1, 'data clean'!D15&lt;=25, 2, 'data clean'!D15&lt;=50, 3, 'data clean'!D15&lt;=75, 4, TRUE, 5)</f>
        <v>1</v>
      </c>
      <c r="E14" s="29">
        <f>IFS('data clean'!E15&lt;=1, 1, 'data clean'!E15&lt;=25, 2, 'data clean'!E15&lt;=50, 3, 'data clean'!E15&lt;=75, 4, TRUE, 5)</f>
        <v>3</v>
      </c>
      <c r="F14" s="29">
        <f>IFS('data clean'!F15&lt;=1, 1, 'data clean'!F15&lt;=3, 2, 'data clean'!F15&lt;=5, 3, 'data clean'!F15&lt;=7, 4, TRUE, 5)</f>
        <v>5</v>
      </c>
      <c r="G14" s="29">
        <f>IFS('data clean'!G15&lt;=100, 5, 'data clean'!G15&lt;=200, 4, 'data clean'!G15&lt;=350, 3, 'data clean'!G15&lt;=500, 2, TRUE, 1)</f>
        <v>5</v>
      </c>
      <c r="I14" s="39" t="s">
        <v>493</v>
      </c>
      <c r="J14" s="29">
        <f t="shared" si="1"/>
        <v>0.1439631501</v>
      </c>
      <c r="K14" s="29">
        <f t="shared" si="2"/>
        <v>0.07738232325</v>
      </c>
      <c r="L14" s="29">
        <f t="shared" si="3"/>
        <v>0.1519109051</v>
      </c>
      <c r="M14" s="29">
        <f t="shared" si="4"/>
        <v>0.2548235957</v>
      </c>
      <c r="N14" s="29">
        <f t="shared" si="5"/>
        <v>0.1598823698</v>
      </c>
      <c r="P14" s="39" t="s">
        <v>494</v>
      </c>
      <c r="Q14" s="29">
        <f t="shared" si="6"/>
        <v>0.5758526006</v>
      </c>
      <c r="R14" s="29">
        <f t="shared" si="7"/>
        <v>0.2321469698</v>
      </c>
      <c r="S14" s="29">
        <f t="shared" si="8"/>
        <v>0.3038218101</v>
      </c>
      <c r="T14" s="29">
        <f t="shared" si="9"/>
        <v>1.019294383</v>
      </c>
      <c r="U14" s="29">
        <f t="shared" si="10"/>
        <v>0.7994118492</v>
      </c>
      <c r="V14" s="87"/>
      <c r="W14" s="39" t="s">
        <v>495</v>
      </c>
      <c r="X14" s="29">
        <f t="shared" si="11"/>
        <v>0.7803570564</v>
      </c>
      <c r="Y14" s="73">
        <f t="shared" si="12"/>
        <v>1.080319853</v>
      </c>
      <c r="Z14" s="68"/>
      <c r="AA14" s="76" t="s">
        <v>496</v>
      </c>
      <c r="AB14" s="74">
        <f t="shared" si="13"/>
        <v>0.5806058255</v>
      </c>
      <c r="AC14" s="57"/>
      <c r="AD14" s="68"/>
      <c r="AE14" s="68"/>
      <c r="AF14" s="68"/>
      <c r="AG14" s="68"/>
      <c r="AH14" s="68"/>
      <c r="AI14" s="68"/>
    </row>
    <row r="15">
      <c r="B15" s="39" t="s">
        <v>497</v>
      </c>
      <c r="C15" s="29">
        <f>IFS('data clean'!C16&lt;=1, 1, 'data clean'!C16&lt;=25, 2, 'data clean'!C16&lt;=50, 3, 'data clean'!C16&lt;=75, 4, TRUE, 5)</f>
        <v>2</v>
      </c>
      <c r="D15" s="29">
        <f>IFS('data clean'!D16&lt;=1, 1, 'data clean'!D16&lt;=25, 2, 'data clean'!D16&lt;=50, 3, 'data clean'!D16&lt;=75, 4, TRUE, 5)</f>
        <v>1</v>
      </c>
      <c r="E15" s="29">
        <f>IFS('data clean'!E16&lt;=1, 1, 'data clean'!E16&lt;=25, 2, 'data clean'!E16&lt;=50, 3, 'data clean'!E16&lt;=75, 4, TRUE, 5)</f>
        <v>3</v>
      </c>
      <c r="F15" s="29">
        <f>IFS('data clean'!F16&lt;=1, 1, 'data clean'!F16&lt;=3, 2, 'data clean'!F16&lt;=5, 3, 'data clean'!F16&lt;=7, 4, TRUE, 5)</f>
        <v>1</v>
      </c>
      <c r="G15" s="29">
        <f>IFS('data clean'!G16&lt;=100, 5, 'data clean'!G16&lt;=200, 4, 'data clean'!G16&lt;=350, 3, 'data clean'!G16&lt;=500, 2, TRUE, 1)</f>
        <v>5</v>
      </c>
      <c r="I15" s="39" t="s">
        <v>498</v>
      </c>
      <c r="J15" s="29">
        <f t="shared" si="1"/>
        <v>0.1439631501</v>
      </c>
      <c r="K15" s="29">
        <f t="shared" si="2"/>
        <v>0.07738232325</v>
      </c>
      <c r="L15" s="29">
        <f t="shared" si="3"/>
        <v>0.1519109051</v>
      </c>
      <c r="M15" s="29">
        <f t="shared" si="4"/>
        <v>0.05096471914</v>
      </c>
      <c r="N15" s="29">
        <f t="shared" si="5"/>
        <v>0.1598823698</v>
      </c>
      <c r="P15" s="39" t="s">
        <v>499</v>
      </c>
      <c r="Q15" s="29">
        <f t="shared" si="6"/>
        <v>0.5758526006</v>
      </c>
      <c r="R15" s="29">
        <f t="shared" si="7"/>
        <v>0.2321469698</v>
      </c>
      <c r="S15" s="29">
        <f t="shared" si="8"/>
        <v>0.3038218101</v>
      </c>
      <c r="T15" s="29">
        <f t="shared" si="9"/>
        <v>0.2038588766</v>
      </c>
      <c r="U15" s="29">
        <f t="shared" si="10"/>
        <v>0.7994118492</v>
      </c>
      <c r="V15" s="87"/>
      <c r="W15" s="39" t="s">
        <v>500</v>
      </c>
      <c r="X15" s="29">
        <f t="shared" si="11"/>
        <v>1.128668331</v>
      </c>
      <c r="Y15" s="73">
        <f t="shared" si="12"/>
        <v>0.7086296068</v>
      </c>
      <c r="Z15" s="68"/>
      <c r="AA15" s="76" t="s">
        <v>501</v>
      </c>
      <c r="AB15" s="74">
        <f t="shared" si="13"/>
        <v>0.3856911785</v>
      </c>
      <c r="AC15" s="57"/>
      <c r="AD15" s="68"/>
      <c r="AE15" s="68"/>
      <c r="AF15" s="68"/>
      <c r="AG15" s="68"/>
      <c r="AH15" s="68"/>
      <c r="AI15" s="68"/>
    </row>
    <row r="16">
      <c r="B16" s="39" t="s">
        <v>502</v>
      </c>
      <c r="C16" s="29">
        <f>IFS('data clean'!C17&lt;=1, 1, 'data clean'!C17&lt;=25, 2, 'data clean'!C17&lt;=50, 3, 'data clean'!C17&lt;=75, 4, TRUE, 5)</f>
        <v>2</v>
      </c>
      <c r="D16" s="29">
        <f>IFS('data clean'!D17&lt;=1, 1, 'data clean'!D17&lt;=25, 2, 'data clean'!D17&lt;=50, 3, 'data clean'!D17&lt;=75, 4, TRUE, 5)</f>
        <v>1</v>
      </c>
      <c r="E16" s="29">
        <f>IFS('data clean'!E17&lt;=1, 1, 'data clean'!E17&lt;=25, 2, 'data clean'!E17&lt;=50, 3, 'data clean'!E17&lt;=75, 4, TRUE, 5)</f>
        <v>3</v>
      </c>
      <c r="F16" s="29">
        <f>IFS('data clean'!F17&lt;=1, 1, 'data clean'!F17&lt;=3, 2, 'data clean'!F17&lt;=5, 3, 'data clean'!F17&lt;=7, 4, TRUE, 5)</f>
        <v>2</v>
      </c>
      <c r="G16" s="29">
        <f>IFS('data clean'!G17&lt;=100, 5, 'data clean'!G17&lt;=200, 4, 'data clean'!G17&lt;=350, 3, 'data clean'!G17&lt;=500, 2, TRUE, 1)</f>
        <v>5</v>
      </c>
      <c r="I16" s="39" t="s">
        <v>503</v>
      </c>
      <c r="J16" s="29">
        <f t="shared" si="1"/>
        <v>0.1439631501</v>
      </c>
      <c r="K16" s="29">
        <f t="shared" si="2"/>
        <v>0.07738232325</v>
      </c>
      <c r="L16" s="29">
        <f t="shared" si="3"/>
        <v>0.1519109051</v>
      </c>
      <c r="M16" s="29">
        <f t="shared" si="4"/>
        <v>0.1019294383</v>
      </c>
      <c r="N16" s="29">
        <f t="shared" si="5"/>
        <v>0.1598823698</v>
      </c>
      <c r="P16" s="39" t="s">
        <v>504</v>
      </c>
      <c r="Q16" s="29">
        <f t="shared" si="6"/>
        <v>0.5758526006</v>
      </c>
      <c r="R16" s="29">
        <f t="shared" si="7"/>
        <v>0.2321469698</v>
      </c>
      <c r="S16" s="29">
        <f t="shared" si="8"/>
        <v>0.3038218101</v>
      </c>
      <c r="T16" s="29">
        <f t="shared" si="9"/>
        <v>0.4077177532</v>
      </c>
      <c r="U16" s="29">
        <f t="shared" si="10"/>
        <v>0.7994118492</v>
      </c>
      <c r="V16" s="87"/>
      <c r="W16" s="39" t="s">
        <v>505</v>
      </c>
      <c r="X16" s="29">
        <f t="shared" si="11"/>
        <v>0.9914550467</v>
      </c>
      <c r="Y16" s="73">
        <f t="shared" si="12"/>
        <v>0.7373698944</v>
      </c>
      <c r="Z16" s="68"/>
      <c r="AA16" s="76" t="s">
        <v>506</v>
      </c>
      <c r="AB16" s="74">
        <f t="shared" si="13"/>
        <v>0.4265150721</v>
      </c>
      <c r="AC16" s="57"/>
      <c r="AD16" s="68"/>
      <c r="AE16" s="68"/>
      <c r="AF16" s="68"/>
      <c r="AG16" s="68"/>
      <c r="AH16" s="68"/>
      <c r="AI16" s="68"/>
    </row>
    <row r="17">
      <c r="B17" s="39" t="s">
        <v>507</v>
      </c>
      <c r="C17" s="29">
        <f>IFS('data clean'!C18&lt;=1, 1, 'data clean'!C18&lt;=25, 2, 'data clean'!C18&lt;=50, 3, 'data clean'!C18&lt;=75, 4, TRUE, 5)</f>
        <v>1</v>
      </c>
      <c r="D17" s="29">
        <f>IFS('data clean'!D18&lt;=1, 1, 'data clean'!D18&lt;=25, 2, 'data clean'!D18&lt;=50, 3, 'data clean'!D18&lt;=75, 4, TRUE, 5)</f>
        <v>1</v>
      </c>
      <c r="E17" s="29">
        <f>IFS('data clean'!E18&lt;=1, 1, 'data clean'!E18&lt;=25, 2, 'data clean'!E18&lt;=50, 3, 'data clean'!E18&lt;=75, 4, TRUE, 5)</f>
        <v>2</v>
      </c>
      <c r="F17" s="29">
        <f>IFS('data clean'!F18&lt;=1, 1, 'data clean'!F18&lt;=3, 2, 'data clean'!F18&lt;=5, 3, 'data clean'!F18&lt;=7, 4, TRUE, 5)</f>
        <v>1</v>
      </c>
      <c r="G17" s="29">
        <f>IFS('data clean'!G18&lt;=100, 5, 'data clean'!G18&lt;=200, 4, 'data clean'!G18&lt;=350, 3, 'data clean'!G18&lt;=500, 2, TRUE, 1)</f>
        <v>5</v>
      </c>
      <c r="I17" s="39" t="s">
        <v>508</v>
      </c>
      <c r="J17" s="29">
        <f t="shared" si="1"/>
        <v>0.07198157507</v>
      </c>
      <c r="K17" s="29">
        <f t="shared" si="2"/>
        <v>0.07738232325</v>
      </c>
      <c r="L17" s="29">
        <f t="shared" si="3"/>
        <v>0.1012739367</v>
      </c>
      <c r="M17" s="29">
        <f t="shared" si="4"/>
        <v>0.05096471914</v>
      </c>
      <c r="N17" s="29">
        <f t="shared" si="5"/>
        <v>0.1598823698</v>
      </c>
      <c r="P17" s="39" t="s">
        <v>509</v>
      </c>
      <c r="Q17" s="29">
        <f t="shared" si="6"/>
        <v>0.2879263003</v>
      </c>
      <c r="R17" s="29">
        <f t="shared" si="7"/>
        <v>0.2321469698</v>
      </c>
      <c r="S17" s="29">
        <f t="shared" si="8"/>
        <v>0.2025478734</v>
      </c>
      <c r="T17" s="29">
        <f t="shared" si="9"/>
        <v>0.2038588766</v>
      </c>
      <c r="U17" s="29">
        <f t="shared" si="10"/>
        <v>0.7994118492</v>
      </c>
      <c r="V17" s="87"/>
      <c r="W17" s="39" t="s">
        <v>510</v>
      </c>
      <c r="X17" s="29">
        <f t="shared" si="11"/>
        <v>1.254543309</v>
      </c>
      <c r="Y17" s="73">
        <f t="shared" si="12"/>
        <v>0.6395294794</v>
      </c>
      <c r="Z17" s="68"/>
      <c r="AA17" s="76" t="s">
        <v>511</v>
      </c>
      <c r="AB17" s="74">
        <f t="shared" si="13"/>
        <v>0.3376477838</v>
      </c>
      <c r="AC17" s="57"/>
      <c r="AD17" s="68"/>
      <c r="AE17" s="68"/>
      <c r="AF17" s="68"/>
      <c r="AG17" s="68"/>
      <c r="AH17" s="68"/>
      <c r="AI17" s="68"/>
    </row>
    <row r="18">
      <c r="B18" s="39" t="s">
        <v>512</v>
      </c>
      <c r="C18" s="29">
        <f>IFS('data clean'!C19&lt;=1, 1, 'data clean'!C19&lt;=25, 2, 'data clean'!C19&lt;=50, 3, 'data clean'!C19&lt;=75, 4, TRUE, 5)</f>
        <v>1</v>
      </c>
      <c r="D18" s="29">
        <f>IFS('data clean'!D19&lt;=1, 1, 'data clean'!D19&lt;=25, 2, 'data clean'!D19&lt;=50, 3, 'data clean'!D19&lt;=75, 4, TRUE, 5)</f>
        <v>1</v>
      </c>
      <c r="E18" s="29">
        <f>IFS('data clean'!E19&lt;=1, 1, 'data clean'!E19&lt;=25, 2, 'data clean'!E19&lt;=50, 3, 'data clean'!E19&lt;=75, 4, TRUE, 5)</f>
        <v>3</v>
      </c>
      <c r="F18" s="29">
        <f>IFS('data clean'!F19&lt;=1, 1, 'data clean'!F19&lt;=3, 2, 'data clean'!F19&lt;=5, 3, 'data clean'!F19&lt;=7, 4, TRUE, 5)</f>
        <v>2</v>
      </c>
      <c r="G18" s="29">
        <f>IFS('data clean'!G19&lt;=100, 5, 'data clean'!G19&lt;=200, 4, 'data clean'!G19&lt;=350, 3, 'data clean'!G19&lt;=500, 2, TRUE, 1)</f>
        <v>5</v>
      </c>
      <c r="I18" s="39" t="s">
        <v>513</v>
      </c>
      <c r="J18" s="29">
        <f t="shared" si="1"/>
        <v>0.07198157507</v>
      </c>
      <c r="K18" s="29">
        <f t="shared" si="2"/>
        <v>0.07738232325</v>
      </c>
      <c r="L18" s="29">
        <f t="shared" si="3"/>
        <v>0.1519109051</v>
      </c>
      <c r="M18" s="29">
        <f t="shared" si="4"/>
        <v>0.1019294383</v>
      </c>
      <c r="N18" s="29">
        <f t="shared" si="5"/>
        <v>0.1598823698</v>
      </c>
      <c r="P18" s="39" t="s">
        <v>514</v>
      </c>
      <c r="Q18" s="29">
        <f t="shared" si="6"/>
        <v>0.2879263003</v>
      </c>
      <c r="R18" s="29">
        <f t="shared" si="7"/>
        <v>0.2321469698</v>
      </c>
      <c r="S18" s="29">
        <f t="shared" si="8"/>
        <v>0.3038218101</v>
      </c>
      <c r="T18" s="29">
        <f t="shared" si="9"/>
        <v>0.4077177532</v>
      </c>
      <c r="U18" s="29">
        <f t="shared" si="10"/>
        <v>0.7994118492</v>
      </c>
      <c r="V18" s="87"/>
      <c r="W18" s="39" t="s">
        <v>515</v>
      </c>
      <c r="X18" s="29">
        <f t="shared" si="11"/>
        <v>1.109814297</v>
      </c>
      <c r="Y18" s="73">
        <f t="shared" si="12"/>
        <v>0.678831943</v>
      </c>
      <c r="Z18" s="68"/>
      <c r="AA18" s="76" t="s">
        <v>516</v>
      </c>
      <c r="AB18" s="74">
        <f t="shared" si="13"/>
        <v>0.3795227519</v>
      </c>
      <c r="AC18" s="57"/>
      <c r="AD18" s="68"/>
      <c r="AE18" s="68"/>
      <c r="AF18" s="68"/>
      <c r="AG18" s="68"/>
      <c r="AH18" s="68"/>
      <c r="AI18" s="68"/>
    </row>
    <row r="19">
      <c r="B19" s="43" t="s">
        <v>517</v>
      </c>
      <c r="C19" s="29">
        <f>IFS('data clean'!C20&lt;=1, 1, 'data clean'!C20&lt;=25, 2, 'data clean'!C20&lt;=50, 3, 'data clean'!C20&lt;=75, 4, TRUE, 5)</f>
        <v>2</v>
      </c>
      <c r="D19" s="29">
        <f>IFS('data clean'!D20&lt;=1, 1, 'data clean'!D20&lt;=25, 2, 'data clean'!D20&lt;=50, 3, 'data clean'!D20&lt;=75, 4, TRUE, 5)</f>
        <v>1</v>
      </c>
      <c r="E19" s="29">
        <f>IFS('data clean'!E20&lt;=1, 1, 'data clean'!E20&lt;=25, 2, 'data clean'!E20&lt;=50, 3, 'data clean'!E20&lt;=75, 4, TRUE, 5)</f>
        <v>3</v>
      </c>
      <c r="F19" s="29">
        <f>IFS('data clean'!F20&lt;=1, 1, 'data clean'!F20&lt;=3, 2, 'data clean'!F20&lt;=5, 3, 'data clean'!F20&lt;=7, 4, TRUE, 5)</f>
        <v>1</v>
      </c>
      <c r="G19" s="29">
        <f>IFS('data clean'!G20&lt;=100, 5, 'data clean'!G20&lt;=200, 4, 'data clean'!G20&lt;=350, 3, 'data clean'!G20&lt;=500, 2, TRUE, 1)</f>
        <v>5</v>
      </c>
      <c r="I19" s="43" t="s">
        <v>518</v>
      </c>
      <c r="J19" s="29">
        <f t="shared" si="1"/>
        <v>0.1439631501</v>
      </c>
      <c r="K19" s="29">
        <f t="shared" si="2"/>
        <v>0.07738232325</v>
      </c>
      <c r="L19" s="29">
        <f t="shared" si="3"/>
        <v>0.1519109051</v>
      </c>
      <c r="M19" s="29">
        <f t="shared" si="4"/>
        <v>0.05096471914</v>
      </c>
      <c r="N19" s="29">
        <f t="shared" si="5"/>
        <v>0.1598823698</v>
      </c>
      <c r="P19" s="43" t="s">
        <v>519</v>
      </c>
      <c r="Q19" s="29">
        <f t="shared" si="6"/>
        <v>0.5758526006</v>
      </c>
      <c r="R19" s="29">
        <f t="shared" si="7"/>
        <v>0.2321469698</v>
      </c>
      <c r="S19" s="29">
        <f t="shared" si="8"/>
        <v>0.3038218101</v>
      </c>
      <c r="T19" s="29">
        <f t="shared" si="9"/>
        <v>0.2038588766</v>
      </c>
      <c r="U19" s="29">
        <f t="shared" si="10"/>
        <v>0.7994118492</v>
      </c>
      <c r="V19" s="87"/>
      <c r="W19" s="43" t="s">
        <v>520</v>
      </c>
      <c r="X19" s="29">
        <f t="shared" si="11"/>
        <v>1.128668331</v>
      </c>
      <c r="Y19" s="73">
        <f t="shared" si="12"/>
        <v>0.7086296068</v>
      </c>
      <c r="Z19" s="68"/>
      <c r="AA19" s="81" t="s">
        <v>521</v>
      </c>
      <c r="AB19" s="74">
        <f t="shared" si="13"/>
        <v>0.3856911785</v>
      </c>
      <c r="AC19" s="57"/>
      <c r="AD19" s="68"/>
      <c r="AE19" s="68"/>
      <c r="AF19" s="68"/>
      <c r="AG19" s="68"/>
      <c r="AH19" s="68"/>
      <c r="AI19" s="68"/>
    </row>
    <row r="20">
      <c r="B20" s="39" t="s">
        <v>522</v>
      </c>
      <c r="C20" s="29">
        <f>IFS('data clean'!C21&lt;=1, 1, 'data clean'!C21&lt;=25, 2, 'data clean'!C21&lt;=50, 3, 'data clean'!C21&lt;=75, 4, TRUE, 5)</f>
        <v>1</v>
      </c>
      <c r="D20" s="29">
        <f>IFS('data clean'!D21&lt;=1, 1, 'data clean'!D21&lt;=25, 2, 'data clean'!D21&lt;=50, 3, 'data clean'!D21&lt;=75, 4, TRUE, 5)</f>
        <v>1</v>
      </c>
      <c r="E20" s="29">
        <f>IFS('data clean'!E21&lt;=1, 1, 'data clean'!E21&lt;=25, 2, 'data clean'!E21&lt;=50, 3, 'data clean'!E21&lt;=75, 4, TRUE, 5)</f>
        <v>2</v>
      </c>
      <c r="F20" s="29">
        <f>IFS('data clean'!F21&lt;=1, 1, 'data clean'!F21&lt;=3, 2, 'data clean'!F21&lt;=5, 3, 'data clean'!F21&lt;=7, 4, TRUE, 5)</f>
        <v>3</v>
      </c>
      <c r="G20" s="29">
        <f>IFS('data clean'!G21&lt;=100, 5, 'data clean'!G21&lt;=200, 4, 'data clean'!G21&lt;=350, 3, 'data clean'!G21&lt;=500, 2, TRUE, 1)</f>
        <v>5</v>
      </c>
      <c r="I20" s="39" t="s">
        <v>523</v>
      </c>
      <c r="J20" s="29">
        <f t="shared" si="1"/>
        <v>0.07198157507</v>
      </c>
      <c r="K20" s="29">
        <f t="shared" si="2"/>
        <v>0.07738232325</v>
      </c>
      <c r="L20" s="29">
        <f t="shared" si="3"/>
        <v>0.1012739367</v>
      </c>
      <c r="M20" s="29">
        <f t="shared" si="4"/>
        <v>0.1528941574</v>
      </c>
      <c r="N20" s="29">
        <f t="shared" si="5"/>
        <v>0.1598823698</v>
      </c>
      <c r="P20" s="39" t="s">
        <v>524</v>
      </c>
      <c r="Q20" s="29">
        <f t="shared" si="6"/>
        <v>0.2879263003</v>
      </c>
      <c r="R20" s="29">
        <f t="shared" si="7"/>
        <v>0.2321469698</v>
      </c>
      <c r="S20" s="29">
        <f t="shared" si="8"/>
        <v>0.2025478734</v>
      </c>
      <c r="T20" s="29">
        <f t="shared" si="9"/>
        <v>0.6115766297</v>
      </c>
      <c r="U20" s="29">
        <f t="shared" si="10"/>
        <v>0.7994118492</v>
      </c>
      <c r="V20" s="87"/>
      <c r="W20" s="39" t="s">
        <v>525</v>
      </c>
      <c r="X20" s="29">
        <f t="shared" si="11"/>
        <v>1.036907718</v>
      </c>
      <c r="Y20" s="73">
        <f t="shared" si="12"/>
        <v>0.7584403215</v>
      </c>
      <c r="Z20" s="68"/>
      <c r="AA20" s="76" t="s">
        <v>526</v>
      </c>
      <c r="AB20" s="74">
        <f t="shared" si="13"/>
        <v>0.422447517</v>
      </c>
      <c r="AC20" s="57"/>
      <c r="AD20" s="68"/>
      <c r="AE20" s="68"/>
      <c r="AF20" s="68"/>
      <c r="AG20" s="68"/>
      <c r="AH20" s="68"/>
      <c r="AI20" s="68"/>
    </row>
    <row r="21">
      <c r="B21" s="39" t="s">
        <v>527</v>
      </c>
      <c r="C21" s="29">
        <f>IFS('data clean'!C22&lt;=1, 1, 'data clean'!C22&lt;=25, 2, 'data clean'!C22&lt;=50, 3, 'data clean'!C22&lt;=75, 4, TRUE, 5)</f>
        <v>2</v>
      </c>
      <c r="D21" s="29">
        <f>IFS('data clean'!D22&lt;=1, 1, 'data clean'!D22&lt;=25, 2, 'data clean'!D22&lt;=50, 3, 'data clean'!D22&lt;=75, 4, TRUE, 5)</f>
        <v>2</v>
      </c>
      <c r="E21" s="29">
        <f>IFS('data clean'!E22&lt;=1, 1, 'data clean'!E22&lt;=25, 2, 'data clean'!E22&lt;=50, 3, 'data clean'!E22&lt;=75, 4, TRUE, 5)</f>
        <v>4</v>
      </c>
      <c r="F21" s="29">
        <f>IFS('data clean'!F22&lt;=1, 1, 'data clean'!F22&lt;=3, 2, 'data clean'!F22&lt;=5, 3, 'data clean'!F22&lt;=7, 4, TRUE, 5)</f>
        <v>3</v>
      </c>
      <c r="G21" s="29">
        <f>IFS('data clean'!G22&lt;=100, 5, 'data clean'!G22&lt;=200, 4, 'data clean'!G22&lt;=350, 3, 'data clean'!G22&lt;=500, 2, TRUE, 1)</f>
        <v>1</v>
      </c>
      <c r="I21" s="39" t="s">
        <v>528</v>
      </c>
      <c r="J21" s="29">
        <f t="shared" si="1"/>
        <v>0.1439631501</v>
      </c>
      <c r="K21" s="29">
        <f t="shared" si="2"/>
        <v>0.1547646465</v>
      </c>
      <c r="L21" s="29">
        <f t="shared" si="3"/>
        <v>0.2025478734</v>
      </c>
      <c r="M21" s="29">
        <f t="shared" si="4"/>
        <v>0.1528941574</v>
      </c>
      <c r="N21" s="29">
        <f t="shared" si="5"/>
        <v>0.03197647397</v>
      </c>
      <c r="P21" s="39" t="s">
        <v>529</v>
      </c>
      <c r="Q21" s="29">
        <f t="shared" si="6"/>
        <v>0.5758526006</v>
      </c>
      <c r="R21" s="29">
        <f t="shared" si="7"/>
        <v>0.4642939395</v>
      </c>
      <c r="S21" s="29">
        <f t="shared" si="8"/>
        <v>0.4050957468</v>
      </c>
      <c r="T21" s="29">
        <f t="shared" si="9"/>
        <v>0.6115766297</v>
      </c>
      <c r="U21" s="29">
        <f t="shared" si="10"/>
        <v>0.1598823698</v>
      </c>
      <c r="V21" s="87"/>
      <c r="W21" s="39" t="s">
        <v>530</v>
      </c>
      <c r="X21" s="29">
        <f t="shared" si="11"/>
        <v>0.9401906978</v>
      </c>
      <c r="Y21" s="73">
        <f t="shared" si="12"/>
        <v>0.5865604634</v>
      </c>
      <c r="Z21" s="68"/>
      <c r="AA21" s="76" t="s">
        <v>531</v>
      </c>
      <c r="AB21" s="74">
        <f t="shared" si="13"/>
        <v>0.3841886473</v>
      </c>
      <c r="AC21" s="57"/>
      <c r="AD21" s="68"/>
      <c r="AE21" s="68"/>
      <c r="AF21" s="68"/>
      <c r="AG21" s="68"/>
      <c r="AH21" s="68"/>
      <c r="AI21" s="68"/>
    </row>
    <row r="22">
      <c r="B22" s="38" t="s">
        <v>532</v>
      </c>
      <c r="C22" s="29">
        <f>IFS('data clean'!C23&lt;=1, 1, 'data clean'!C23&lt;=25, 2, 'data clean'!C23&lt;=50, 3, 'data clean'!C23&lt;=75, 4, TRUE, 5)</f>
        <v>1</v>
      </c>
      <c r="D22" s="29">
        <f>IFS('data clean'!D23&lt;=1, 1, 'data clean'!D23&lt;=25, 2, 'data clean'!D23&lt;=50, 3, 'data clean'!D23&lt;=75, 4, TRUE, 5)</f>
        <v>2</v>
      </c>
      <c r="E22" s="29">
        <f>IFS('data clean'!E23&lt;=1, 1, 'data clean'!E23&lt;=25, 2, 'data clean'!E23&lt;=50, 3, 'data clean'!E23&lt;=75, 4, TRUE, 5)</f>
        <v>4</v>
      </c>
      <c r="F22" s="29">
        <f>IFS('data clean'!F23&lt;=1, 1, 'data clean'!F23&lt;=3, 2, 'data clean'!F23&lt;=5, 3, 'data clean'!F23&lt;=7, 4, TRUE, 5)</f>
        <v>5</v>
      </c>
      <c r="G22" s="29">
        <f>IFS('data clean'!G23&lt;=100, 5, 'data clean'!G23&lt;=200, 4, 'data clean'!G23&lt;=350, 3, 'data clean'!G23&lt;=500, 2, TRUE, 1)</f>
        <v>5</v>
      </c>
      <c r="I22" s="38" t="s">
        <v>533</v>
      </c>
      <c r="J22" s="29">
        <f t="shared" si="1"/>
        <v>0.07198157507</v>
      </c>
      <c r="K22" s="29">
        <f t="shared" si="2"/>
        <v>0.1547646465</v>
      </c>
      <c r="L22" s="29">
        <f t="shared" si="3"/>
        <v>0.2025478734</v>
      </c>
      <c r="M22" s="29">
        <f t="shared" si="4"/>
        <v>0.2548235957</v>
      </c>
      <c r="N22" s="29">
        <f t="shared" si="5"/>
        <v>0.1598823698</v>
      </c>
      <c r="P22" s="38" t="s">
        <v>534</v>
      </c>
      <c r="Q22" s="29">
        <f t="shared" si="6"/>
        <v>0.2879263003</v>
      </c>
      <c r="R22" s="29">
        <f t="shared" si="7"/>
        <v>0.4642939395</v>
      </c>
      <c r="S22" s="29">
        <f t="shared" si="8"/>
        <v>0.4050957468</v>
      </c>
      <c r="T22" s="29">
        <f t="shared" si="9"/>
        <v>1.019294383</v>
      </c>
      <c r="U22" s="29">
        <f t="shared" si="10"/>
        <v>0.7994118492</v>
      </c>
      <c r="V22" s="87"/>
      <c r="W22" s="38" t="s">
        <v>535</v>
      </c>
      <c r="X22" s="29">
        <f t="shared" si="11"/>
        <v>0.7466133472</v>
      </c>
      <c r="Y22" s="73">
        <f t="shared" si="12"/>
        <v>1.08113407</v>
      </c>
      <c r="Z22" s="68"/>
      <c r="AA22" s="75" t="s">
        <v>536</v>
      </c>
      <c r="AB22" s="74">
        <f t="shared" si="13"/>
        <v>0.5915117481</v>
      </c>
      <c r="AC22" s="57"/>
      <c r="AD22" s="68"/>
      <c r="AE22" s="68"/>
      <c r="AF22" s="68"/>
      <c r="AG22" s="68"/>
      <c r="AH22" s="68"/>
      <c r="AI22" s="68"/>
    </row>
    <row r="23">
      <c r="B23" s="39" t="s">
        <v>537</v>
      </c>
      <c r="C23" s="29">
        <f>IFS('data clean'!C24&lt;=1, 1, 'data clean'!C24&lt;=25, 2, 'data clean'!C24&lt;=50, 3, 'data clean'!C24&lt;=75, 4, TRUE, 5)</f>
        <v>2</v>
      </c>
      <c r="D23" s="29">
        <f>IFS('data clean'!D24&lt;=1, 1, 'data clean'!D24&lt;=25, 2, 'data clean'!D24&lt;=50, 3, 'data clean'!D24&lt;=75, 4, TRUE, 5)</f>
        <v>2</v>
      </c>
      <c r="E23" s="29">
        <f>IFS('data clean'!E24&lt;=1, 1, 'data clean'!E24&lt;=25, 2, 'data clean'!E24&lt;=50, 3, 'data clean'!E24&lt;=75, 4, TRUE, 5)</f>
        <v>4</v>
      </c>
      <c r="F23" s="29">
        <f>IFS('data clean'!F24&lt;=1, 1, 'data clean'!F24&lt;=3, 2, 'data clean'!F24&lt;=5, 3, 'data clean'!F24&lt;=7, 4, TRUE, 5)</f>
        <v>3</v>
      </c>
      <c r="G23" s="29">
        <f>IFS('data clean'!G24&lt;=100, 5, 'data clean'!G24&lt;=200, 4, 'data clean'!G24&lt;=350, 3, 'data clean'!G24&lt;=500, 2, TRUE, 1)</f>
        <v>1</v>
      </c>
      <c r="I23" s="39" t="s">
        <v>538</v>
      </c>
      <c r="J23" s="29">
        <f t="shared" si="1"/>
        <v>0.1439631501</v>
      </c>
      <c r="K23" s="29">
        <f t="shared" si="2"/>
        <v>0.1547646465</v>
      </c>
      <c r="L23" s="29">
        <f t="shared" si="3"/>
        <v>0.2025478734</v>
      </c>
      <c r="M23" s="29">
        <f t="shared" si="4"/>
        <v>0.1528941574</v>
      </c>
      <c r="N23" s="29">
        <f t="shared" si="5"/>
        <v>0.03197647397</v>
      </c>
      <c r="P23" s="39" t="s">
        <v>539</v>
      </c>
      <c r="Q23" s="29">
        <f t="shared" si="6"/>
        <v>0.5758526006</v>
      </c>
      <c r="R23" s="29">
        <f t="shared" si="7"/>
        <v>0.4642939395</v>
      </c>
      <c r="S23" s="29">
        <f t="shared" si="8"/>
        <v>0.4050957468</v>
      </c>
      <c r="T23" s="29">
        <f t="shared" si="9"/>
        <v>0.6115766297</v>
      </c>
      <c r="U23" s="29">
        <f t="shared" si="10"/>
        <v>0.1598823698</v>
      </c>
      <c r="V23" s="87"/>
      <c r="W23" s="39" t="s">
        <v>540</v>
      </c>
      <c r="X23" s="29">
        <f t="shared" si="11"/>
        <v>0.9401906978</v>
      </c>
      <c r="Y23" s="73">
        <f t="shared" si="12"/>
        <v>0.5865604634</v>
      </c>
      <c r="Z23" s="68"/>
      <c r="AA23" s="76" t="s">
        <v>541</v>
      </c>
      <c r="AB23" s="74">
        <f t="shared" si="13"/>
        <v>0.3841886473</v>
      </c>
      <c r="AC23" s="57"/>
      <c r="AD23" s="68"/>
      <c r="AE23" s="68"/>
      <c r="AF23" s="68"/>
      <c r="AG23" s="68"/>
      <c r="AH23" s="68"/>
      <c r="AI23" s="68"/>
    </row>
    <row r="24">
      <c r="B24" s="39" t="s">
        <v>542</v>
      </c>
      <c r="C24" s="29">
        <f>IFS('data clean'!C25&lt;=1, 1, 'data clean'!C25&lt;=25, 2, 'data clean'!C25&lt;=50, 3, 'data clean'!C25&lt;=75, 4, TRUE, 5)</f>
        <v>2</v>
      </c>
      <c r="D24" s="29">
        <f>IFS('data clean'!D25&lt;=1, 1, 'data clean'!D25&lt;=25, 2, 'data clean'!D25&lt;=50, 3, 'data clean'!D25&lt;=75, 4, TRUE, 5)</f>
        <v>2</v>
      </c>
      <c r="E24" s="29">
        <f>IFS('data clean'!E25&lt;=1, 1, 'data clean'!E25&lt;=25, 2, 'data clean'!E25&lt;=50, 3, 'data clean'!E25&lt;=75, 4, TRUE, 5)</f>
        <v>4</v>
      </c>
      <c r="F24" s="29">
        <f>IFS('data clean'!F25&lt;=1, 1, 'data clean'!F25&lt;=3, 2, 'data clean'!F25&lt;=5, 3, 'data clean'!F25&lt;=7, 4, TRUE, 5)</f>
        <v>3</v>
      </c>
      <c r="G24" s="29">
        <f>IFS('data clean'!G25&lt;=100, 5, 'data clean'!G25&lt;=200, 4, 'data clean'!G25&lt;=350, 3, 'data clean'!G25&lt;=500, 2, TRUE, 1)</f>
        <v>2</v>
      </c>
      <c r="I24" s="39" t="s">
        <v>543</v>
      </c>
      <c r="J24" s="29">
        <f t="shared" si="1"/>
        <v>0.1439631501</v>
      </c>
      <c r="K24" s="29">
        <f t="shared" si="2"/>
        <v>0.1547646465</v>
      </c>
      <c r="L24" s="29">
        <f t="shared" si="3"/>
        <v>0.2025478734</v>
      </c>
      <c r="M24" s="29">
        <f t="shared" si="4"/>
        <v>0.1528941574</v>
      </c>
      <c r="N24" s="29">
        <f t="shared" si="5"/>
        <v>0.06395294794</v>
      </c>
      <c r="P24" s="39" t="s">
        <v>544</v>
      </c>
      <c r="Q24" s="29">
        <f t="shared" si="6"/>
        <v>0.5758526006</v>
      </c>
      <c r="R24" s="29">
        <f t="shared" si="7"/>
        <v>0.4642939395</v>
      </c>
      <c r="S24" s="29">
        <f t="shared" si="8"/>
        <v>0.4050957468</v>
      </c>
      <c r="T24" s="29">
        <f t="shared" si="9"/>
        <v>0.6115766297</v>
      </c>
      <c r="U24" s="29">
        <f t="shared" si="10"/>
        <v>0.3197647397</v>
      </c>
      <c r="V24" s="87"/>
      <c r="W24" s="39" t="s">
        <v>545</v>
      </c>
      <c r="X24" s="29">
        <f t="shared" si="11"/>
        <v>0.8396558479</v>
      </c>
      <c r="Y24" s="73">
        <f t="shared" si="12"/>
        <v>0.6079601545</v>
      </c>
      <c r="Z24" s="68"/>
      <c r="AA24" s="76" t="s">
        <v>546</v>
      </c>
      <c r="AB24" s="74">
        <f t="shared" si="13"/>
        <v>0.4199733586</v>
      </c>
      <c r="AC24" s="57"/>
      <c r="AD24" s="68"/>
      <c r="AE24" s="68"/>
      <c r="AF24" s="68"/>
      <c r="AG24" s="68"/>
      <c r="AH24" s="68"/>
      <c r="AI24" s="68"/>
    </row>
    <row r="25">
      <c r="B25" s="39" t="s">
        <v>547</v>
      </c>
      <c r="C25" s="29">
        <f>IFS('data clean'!C26&lt;=1, 1, 'data clean'!C26&lt;=25, 2, 'data clean'!C26&lt;=50, 3, 'data clean'!C26&lt;=75, 4, TRUE, 5)</f>
        <v>2</v>
      </c>
      <c r="D25" s="29">
        <f>IFS('data clean'!D26&lt;=1, 1, 'data clean'!D26&lt;=25, 2, 'data clean'!D26&lt;=50, 3, 'data clean'!D26&lt;=75, 4, TRUE, 5)</f>
        <v>1</v>
      </c>
      <c r="E25" s="29">
        <f>IFS('data clean'!E26&lt;=1, 1, 'data clean'!E26&lt;=25, 2, 'data clean'!E26&lt;=50, 3, 'data clean'!E26&lt;=75, 4, TRUE, 5)</f>
        <v>4</v>
      </c>
      <c r="F25" s="29">
        <f>IFS('data clean'!F26&lt;=1, 1, 'data clean'!F26&lt;=3, 2, 'data clean'!F26&lt;=5, 3, 'data clean'!F26&lt;=7, 4, TRUE, 5)</f>
        <v>2</v>
      </c>
      <c r="G25" s="29">
        <f>IFS('data clean'!G26&lt;=100, 5, 'data clean'!G26&lt;=200, 4, 'data clean'!G26&lt;=350, 3, 'data clean'!G26&lt;=500, 2, TRUE, 1)</f>
        <v>5</v>
      </c>
      <c r="I25" s="39" t="s">
        <v>548</v>
      </c>
      <c r="J25" s="29">
        <f t="shared" si="1"/>
        <v>0.1439631501</v>
      </c>
      <c r="K25" s="29">
        <f t="shared" si="2"/>
        <v>0.07738232325</v>
      </c>
      <c r="L25" s="29">
        <f t="shared" si="3"/>
        <v>0.2025478734</v>
      </c>
      <c r="M25" s="29">
        <f t="shared" si="4"/>
        <v>0.1019294383</v>
      </c>
      <c r="N25" s="29">
        <f t="shared" si="5"/>
        <v>0.1598823698</v>
      </c>
      <c r="P25" s="39" t="s">
        <v>549</v>
      </c>
      <c r="Q25" s="29">
        <f t="shared" si="6"/>
        <v>0.5758526006</v>
      </c>
      <c r="R25" s="29">
        <f t="shared" si="7"/>
        <v>0.2321469698</v>
      </c>
      <c r="S25" s="29">
        <f t="shared" si="8"/>
        <v>0.4050957468</v>
      </c>
      <c r="T25" s="29">
        <f t="shared" si="9"/>
        <v>0.4077177532</v>
      </c>
      <c r="U25" s="29">
        <f t="shared" si="10"/>
        <v>0.7994118492</v>
      </c>
      <c r="V25" s="87"/>
      <c r="W25" s="39" t="s">
        <v>550</v>
      </c>
      <c r="X25" s="29">
        <f t="shared" si="11"/>
        <v>0.9758144695</v>
      </c>
      <c r="Y25" s="73">
        <f t="shared" si="12"/>
        <v>0.7579469586</v>
      </c>
      <c r="Z25" s="68"/>
      <c r="AA25" s="76" t="s">
        <v>551</v>
      </c>
      <c r="AB25" s="74">
        <f t="shared" si="13"/>
        <v>0.4371691205</v>
      </c>
      <c r="AC25" s="57"/>
      <c r="AD25" s="68"/>
      <c r="AE25" s="68"/>
      <c r="AF25" s="68"/>
      <c r="AG25" s="68"/>
      <c r="AH25" s="68"/>
      <c r="AI25" s="68"/>
    </row>
    <row r="26">
      <c r="B26" s="39" t="s">
        <v>552</v>
      </c>
      <c r="C26" s="29">
        <f>IFS('data clean'!C27&lt;=1, 1, 'data clean'!C27&lt;=25, 2, 'data clean'!C27&lt;=50, 3, 'data clean'!C27&lt;=75, 4, TRUE, 5)</f>
        <v>1</v>
      </c>
      <c r="D26" s="29">
        <f>IFS('data clean'!D27&lt;=1, 1, 'data clean'!D27&lt;=25, 2, 'data clean'!D27&lt;=50, 3, 'data clean'!D27&lt;=75, 4, TRUE, 5)</f>
        <v>1</v>
      </c>
      <c r="E26" s="29">
        <f>IFS('data clean'!E27&lt;=1, 1, 'data clean'!E27&lt;=25, 2, 'data clean'!E27&lt;=50, 3, 'data clean'!E27&lt;=75, 4, TRUE, 5)</f>
        <v>2</v>
      </c>
      <c r="F26" s="29">
        <f>IFS('data clean'!F27&lt;=1, 1, 'data clean'!F27&lt;=3, 2, 'data clean'!F27&lt;=5, 3, 'data clean'!F27&lt;=7, 4, TRUE, 5)</f>
        <v>1</v>
      </c>
      <c r="G26" s="29">
        <f>IFS('data clean'!G27&lt;=100, 5, 'data clean'!G27&lt;=200, 4, 'data clean'!G27&lt;=350, 3, 'data clean'!G27&lt;=500, 2, TRUE, 1)</f>
        <v>5</v>
      </c>
      <c r="I26" s="39" t="s">
        <v>553</v>
      </c>
      <c r="J26" s="29">
        <f t="shared" si="1"/>
        <v>0.07198157507</v>
      </c>
      <c r="K26" s="29">
        <f t="shared" si="2"/>
        <v>0.07738232325</v>
      </c>
      <c r="L26" s="29">
        <f t="shared" si="3"/>
        <v>0.1012739367</v>
      </c>
      <c r="M26" s="29">
        <f t="shared" si="4"/>
        <v>0.05096471914</v>
      </c>
      <c r="N26" s="29">
        <f t="shared" si="5"/>
        <v>0.1598823698</v>
      </c>
      <c r="P26" s="39" t="s">
        <v>554</v>
      </c>
      <c r="Q26" s="29">
        <f t="shared" si="6"/>
        <v>0.2879263003</v>
      </c>
      <c r="R26" s="29">
        <f t="shared" si="7"/>
        <v>0.2321469698</v>
      </c>
      <c r="S26" s="29">
        <f t="shared" si="8"/>
        <v>0.2025478734</v>
      </c>
      <c r="T26" s="29">
        <f t="shared" si="9"/>
        <v>0.2038588766</v>
      </c>
      <c r="U26" s="29">
        <f t="shared" si="10"/>
        <v>0.7994118492</v>
      </c>
      <c r="V26" s="87"/>
      <c r="W26" s="39" t="s">
        <v>555</v>
      </c>
      <c r="X26" s="29">
        <f t="shared" si="11"/>
        <v>1.254543309</v>
      </c>
      <c r="Y26" s="73">
        <f t="shared" si="12"/>
        <v>0.6395294794</v>
      </c>
      <c r="Z26" s="68"/>
      <c r="AA26" s="76" t="s">
        <v>556</v>
      </c>
      <c r="AB26" s="74">
        <f t="shared" si="13"/>
        <v>0.3376477838</v>
      </c>
      <c r="AC26" s="57"/>
      <c r="AD26" s="68"/>
      <c r="AE26" s="68"/>
      <c r="AF26" s="68"/>
      <c r="AG26" s="68"/>
      <c r="AH26" s="68"/>
      <c r="AI26" s="68"/>
    </row>
    <row r="27">
      <c r="B27" s="38" t="s">
        <v>557</v>
      </c>
      <c r="C27" s="29">
        <f>IFS('data clean'!C28&lt;=1, 1, 'data clean'!C28&lt;=25, 2, 'data clean'!C28&lt;=50, 3, 'data clean'!C28&lt;=75, 4, TRUE, 5)</f>
        <v>2</v>
      </c>
      <c r="D27" s="29">
        <f>IFS('data clean'!D28&lt;=1, 1, 'data clean'!D28&lt;=25, 2, 'data clean'!D28&lt;=50, 3, 'data clean'!D28&lt;=75, 4, TRUE, 5)</f>
        <v>1</v>
      </c>
      <c r="E27" s="29">
        <f>IFS('data clean'!E28&lt;=1, 1, 'data clean'!E28&lt;=25, 2, 'data clean'!E28&lt;=50, 3, 'data clean'!E28&lt;=75, 4, TRUE, 5)</f>
        <v>2</v>
      </c>
      <c r="F27" s="29">
        <f>IFS('data clean'!F28&lt;=1, 1, 'data clean'!F28&lt;=3, 2, 'data clean'!F28&lt;=5, 3, 'data clean'!F28&lt;=7, 4, TRUE, 5)</f>
        <v>2</v>
      </c>
      <c r="G27" s="29">
        <f>IFS('data clean'!G28&lt;=100, 5, 'data clean'!G28&lt;=200, 4, 'data clean'!G28&lt;=350, 3, 'data clean'!G28&lt;=500, 2, TRUE, 1)</f>
        <v>2</v>
      </c>
      <c r="I27" s="38" t="s">
        <v>558</v>
      </c>
      <c r="J27" s="29">
        <f t="shared" si="1"/>
        <v>0.1439631501</v>
      </c>
      <c r="K27" s="29">
        <f t="shared" si="2"/>
        <v>0.07738232325</v>
      </c>
      <c r="L27" s="29">
        <f t="shared" si="3"/>
        <v>0.1012739367</v>
      </c>
      <c r="M27" s="29">
        <f t="shared" si="4"/>
        <v>0.1019294383</v>
      </c>
      <c r="N27" s="29">
        <f t="shared" si="5"/>
        <v>0.06395294794</v>
      </c>
      <c r="P27" s="38" t="s">
        <v>559</v>
      </c>
      <c r="Q27" s="29">
        <f t="shared" si="6"/>
        <v>0.5758526006</v>
      </c>
      <c r="R27" s="29">
        <f t="shared" si="7"/>
        <v>0.2321469698</v>
      </c>
      <c r="S27" s="29">
        <f t="shared" si="8"/>
        <v>0.2025478734</v>
      </c>
      <c r="T27" s="29">
        <f t="shared" si="9"/>
        <v>0.4077177532</v>
      </c>
      <c r="U27" s="29">
        <f t="shared" si="10"/>
        <v>0.3197647397</v>
      </c>
      <c r="V27" s="87"/>
      <c r="W27" s="38" t="s">
        <v>560</v>
      </c>
      <c r="X27" s="29">
        <f t="shared" si="11"/>
        <v>1.124422745</v>
      </c>
      <c r="Y27" s="73">
        <f t="shared" si="12"/>
        <v>0.3873272107</v>
      </c>
      <c r="Z27" s="68"/>
      <c r="AA27" s="75" t="s">
        <v>561</v>
      </c>
      <c r="AB27" s="74">
        <f t="shared" si="13"/>
        <v>0.2562111605</v>
      </c>
      <c r="AC27" s="57"/>
      <c r="AD27" s="68"/>
      <c r="AE27" s="68"/>
      <c r="AF27" s="68"/>
      <c r="AG27" s="68"/>
      <c r="AH27" s="68"/>
      <c r="AI27" s="68"/>
    </row>
    <row r="28">
      <c r="B28" s="39" t="s">
        <v>562</v>
      </c>
      <c r="C28" s="29">
        <f>IFS('data clean'!C29&lt;=1, 1, 'data clean'!C29&lt;=25, 2, 'data clean'!C29&lt;=50, 3, 'data clean'!C29&lt;=75, 4, TRUE, 5)</f>
        <v>3</v>
      </c>
      <c r="D28" s="29">
        <f>IFS('data clean'!D29&lt;=1, 1, 'data clean'!D29&lt;=25, 2, 'data clean'!D29&lt;=50, 3, 'data clean'!D29&lt;=75, 4, TRUE, 5)</f>
        <v>3</v>
      </c>
      <c r="E28" s="29">
        <f>IFS('data clean'!E29&lt;=1, 1, 'data clean'!E29&lt;=25, 2, 'data clean'!E29&lt;=50, 3, 'data clean'!E29&lt;=75, 4, TRUE, 5)</f>
        <v>2</v>
      </c>
      <c r="F28" s="29">
        <f>IFS('data clean'!F29&lt;=1, 1, 'data clean'!F29&lt;=3, 2, 'data clean'!F29&lt;=5, 3, 'data clean'!F29&lt;=7, 4, TRUE, 5)</f>
        <v>5</v>
      </c>
      <c r="G28" s="29">
        <f>IFS('data clean'!G29&lt;=100, 5, 'data clean'!G29&lt;=200, 4, 'data clean'!G29&lt;=350, 3, 'data clean'!G29&lt;=500, 2, TRUE, 1)</f>
        <v>5</v>
      </c>
      <c r="I28" s="39" t="s">
        <v>563</v>
      </c>
      <c r="J28" s="29">
        <f t="shared" si="1"/>
        <v>0.2159447252</v>
      </c>
      <c r="K28" s="29">
        <f t="shared" si="2"/>
        <v>0.2321469698</v>
      </c>
      <c r="L28" s="29">
        <f t="shared" si="3"/>
        <v>0.1012739367</v>
      </c>
      <c r="M28" s="29">
        <f t="shared" si="4"/>
        <v>0.2548235957</v>
      </c>
      <c r="N28" s="29">
        <f t="shared" si="5"/>
        <v>0.1598823698</v>
      </c>
      <c r="P28" s="39" t="s">
        <v>564</v>
      </c>
      <c r="Q28" s="29">
        <f t="shared" si="6"/>
        <v>0.8637789009</v>
      </c>
      <c r="R28" s="29">
        <f t="shared" si="7"/>
        <v>0.6964409093</v>
      </c>
      <c r="S28" s="29">
        <f t="shared" si="8"/>
        <v>0.2025478734</v>
      </c>
      <c r="T28" s="29">
        <f t="shared" si="9"/>
        <v>1.019294383</v>
      </c>
      <c r="U28" s="29">
        <f t="shared" si="10"/>
        <v>0.7994118492</v>
      </c>
      <c r="V28" s="87"/>
      <c r="W28" s="39" t="s">
        <v>565</v>
      </c>
      <c r="X28" s="29">
        <f t="shared" si="11"/>
        <v>0.3823609654</v>
      </c>
      <c r="Y28" s="73">
        <f t="shared" si="12"/>
        <v>1.273227434</v>
      </c>
      <c r="Z28" s="68"/>
      <c r="AA28" s="76" t="s">
        <v>566</v>
      </c>
      <c r="AB28" s="74">
        <f t="shared" si="13"/>
        <v>0.769048294</v>
      </c>
      <c r="AC28" s="57"/>
      <c r="AD28" s="68"/>
      <c r="AE28" s="68"/>
      <c r="AF28" s="68"/>
      <c r="AG28" s="68"/>
      <c r="AH28" s="68"/>
      <c r="AI28" s="68"/>
    </row>
    <row r="29">
      <c r="B29" s="39" t="s">
        <v>567</v>
      </c>
      <c r="C29" s="29">
        <f>IFS('data clean'!C30&lt;=1, 1, 'data clean'!C30&lt;=25, 2, 'data clean'!C30&lt;=50, 3, 'data clean'!C30&lt;=75, 4, TRUE, 5)</f>
        <v>2</v>
      </c>
      <c r="D29" s="29">
        <f>IFS('data clean'!D30&lt;=1, 1, 'data clean'!D30&lt;=25, 2, 'data clean'!D30&lt;=50, 3, 'data clean'!D30&lt;=75, 4, TRUE, 5)</f>
        <v>2</v>
      </c>
      <c r="E29" s="29">
        <f>IFS('data clean'!E30&lt;=1, 1, 'data clean'!E30&lt;=25, 2, 'data clean'!E30&lt;=50, 3, 'data clean'!E30&lt;=75, 4, TRUE, 5)</f>
        <v>2</v>
      </c>
      <c r="F29" s="29">
        <f>IFS('data clean'!F30&lt;=1, 1, 'data clean'!F30&lt;=3, 2, 'data clean'!F30&lt;=5, 3, 'data clean'!F30&lt;=7, 4, TRUE, 5)</f>
        <v>2</v>
      </c>
      <c r="G29" s="29">
        <f>IFS('data clean'!G30&lt;=100, 5, 'data clean'!G30&lt;=200, 4, 'data clean'!G30&lt;=350, 3, 'data clean'!G30&lt;=500, 2, TRUE, 1)</f>
        <v>4</v>
      </c>
      <c r="I29" s="39" t="s">
        <v>568</v>
      </c>
      <c r="J29" s="29">
        <f t="shared" si="1"/>
        <v>0.1439631501</v>
      </c>
      <c r="K29" s="29">
        <f t="shared" si="2"/>
        <v>0.1547646465</v>
      </c>
      <c r="L29" s="29">
        <f t="shared" si="3"/>
        <v>0.1012739367</v>
      </c>
      <c r="M29" s="29">
        <f t="shared" si="4"/>
        <v>0.1019294383</v>
      </c>
      <c r="N29" s="29">
        <f t="shared" si="5"/>
        <v>0.1279058959</v>
      </c>
      <c r="P29" s="39" t="s">
        <v>569</v>
      </c>
      <c r="Q29" s="29">
        <f t="shared" si="6"/>
        <v>0.5758526006</v>
      </c>
      <c r="R29" s="29">
        <f t="shared" si="7"/>
        <v>0.4642939395</v>
      </c>
      <c r="S29" s="29">
        <f t="shared" si="8"/>
        <v>0.2025478734</v>
      </c>
      <c r="T29" s="29">
        <f t="shared" si="9"/>
        <v>0.4077177532</v>
      </c>
      <c r="U29" s="29">
        <f t="shared" si="10"/>
        <v>0.6395294794</v>
      </c>
      <c r="V29" s="87"/>
      <c r="W29" s="39" t="s">
        <v>570</v>
      </c>
      <c r="X29" s="29">
        <f t="shared" si="11"/>
        <v>0.889025565</v>
      </c>
      <c r="Y29" s="73">
        <f t="shared" si="12"/>
        <v>0.6390724225</v>
      </c>
      <c r="Z29" s="68"/>
      <c r="AA29" s="76" t="s">
        <v>571</v>
      </c>
      <c r="AB29" s="74">
        <f t="shared" si="13"/>
        <v>0.418214295</v>
      </c>
      <c r="AC29" s="57"/>
      <c r="AD29" s="68"/>
      <c r="AE29" s="68"/>
      <c r="AF29" s="68"/>
      <c r="AG29" s="68"/>
      <c r="AH29" s="68"/>
      <c r="AI29" s="68"/>
    </row>
    <row r="30">
      <c r="B30" s="39" t="s">
        <v>572</v>
      </c>
      <c r="C30" s="29">
        <f>IFS('data clean'!C31&lt;=1, 1, 'data clean'!C31&lt;=25, 2, 'data clean'!C31&lt;=50, 3, 'data clean'!C31&lt;=75, 4, TRUE, 5)</f>
        <v>2</v>
      </c>
      <c r="D30" s="29">
        <f>IFS('data clean'!D31&lt;=1, 1, 'data clean'!D31&lt;=25, 2, 'data clean'!D31&lt;=50, 3, 'data clean'!D31&lt;=75, 4, TRUE, 5)</f>
        <v>1</v>
      </c>
      <c r="E30" s="29">
        <f>IFS('data clean'!E31&lt;=1, 1, 'data clean'!E31&lt;=25, 2, 'data clean'!E31&lt;=50, 3, 'data clean'!E31&lt;=75, 4, TRUE, 5)</f>
        <v>3</v>
      </c>
      <c r="F30" s="29">
        <f>IFS('data clean'!F31&lt;=1, 1, 'data clean'!F31&lt;=3, 2, 'data clean'!F31&lt;=5, 3, 'data clean'!F31&lt;=7, 4, TRUE, 5)</f>
        <v>2</v>
      </c>
      <c r="G30" s="29">
        <f>IFS('data clean'!G31&lt;=100, 5, 'data clean'!G31&lt;=200, 4, 'data clean'!G31&lt;=350, 3, 'data clean'!G31&lt;=500, 2, TRUE, 1)</f>
        <v>5</v>
      </c>
      <c r="I30" s="39" t="s">
        <v>573</v>
      </c>
      <c r="J30" s="29">
        <f t="shared" si="1"/>
        <v>0.1439631501</v>
      </c>
      <c r="K30" s="29">
        <f t="shared" si="2"/>
        <v>0.07738232325</v>
      </c>
      <c r="L30" s="29">
        <f t="shared" si="3"/>
        <v>0.1519109051</v>
      </c>
      <c r="M30" s="29">
        <f t="shared" si="4"/>
        <v>0.1019294383</v>
      </c>
      <c r="N30" s="29">
        <f t="shared" si="5"/>
        <v>0.1598823698</v>
      </c>
      <c r="P30" s="39" t="s">
        <v>574</v>
      </c>
      <c r="Q30" s="29">
        <f t="shared" si="6"/>
        <v>0.5758526006</v>
      </c>
      <c r="R30" s="29">
        <f t="shared" si="7"/>
        <v>0.2321469698</v>
      </c>
      <c r="S30" s="29">
        <f t="shared" si="8"/>
        <v>0.3038218101</v>
      </c>
      <c r="T30" s="29">
        <f t="shared" si="9"/>
        <v>0.4077177532</v>
      </c>
      <c r="U30" s="29">
        <f t="shared" si="10"/>
        <v>0.7994118492</v>
      </c>
      <c r="V30" s="87"/>
      <c r="W30" s="39" t="s">
        <v>575</v>
      </c>
      <c r="X30" s="29">
        <f t="shared" si="11"/>
        <v>0.9914550467</v>
      </c>
      <c r="Y30" s="73">
        <f t="shared" si="12"/>
        <v>0.7373698944</v>
      </c>
      <c r="Z30" s="68"/>
      <c r="AA30" s="39" t="s">
        <v>576</v>
      </c>
      <c r="AB30" s="74">
        <f t="shared" si="13"/>
        <v>0.4265150721</v>
      </c>
      <c r="AC30" s="57"/>
      <c r="AD30" s="68"/>
      <c r="AE30" s="68"/>
      <c r="AF30" s="68"/>
      <c r="AG30" s="68"/>
      <c r="AH30" s="68"/>
      <c r="AI30" s="68"/>
    </row>
    <row r="31">
      <c r="B31" s="38" t="s">
        <v>577</v>
      </c>
      <c r="C31" s="29">
        <f>IFS('data clean'!C32&lt;=1, 1, 'data clean'!C32&lt;=25, 2, 'data clean'!C32&lt;=50, 3, 'data clean'!C32&lt;=75, 4, TRUE, 5)</f>
        <v>2</v>
      </c>
      <c r="D31" s="29">
        <f>IFS('data clean'!D32&lt;=1, 1, 'data clean'!D32&lt;=25, 2, 'data clean'!D32&lt;=50, 3, 'data clean'!D32&lt;=75, 4, TRUE, 5)</f>
        <v>1</v>
      </c>
      <c r="E31" s="29">
        <f>IFS('data clean'!E32&lt;=1, 1, 'data clean'!E32&lt;=25, 2, 'data clean'!E32&lt;=50, 3, 'data clean'!E32&lt;=75, 4, TRUE, 5)</f>
        <v>2</v>
      </c>
      <c r="F31" s="29">
        <f>IFS('data clean'!F32&lt;=1, 1, 'data clean'!F32&lt;=3, 2, 'data clean'!F32&lt;=5, 3, 'data clean'!F32&lt;=7, 4, TRUE, 5)</f>
        <v>3</v>
      </c>
      <c r="G31" s="29">
        <f>IFS('data clean'!G32&lt;=100, 5, 'data clean'!G32&lt;=200, 4, 'data clean'!G32&lt;=350, 3, 'data clean'!G32&lt;=500, 2, TRUE, 1)</f>
        <v>5</v>
      </c>
      <c r="I31" s="38" t="s">
        <v>578</v>
      </c>
      <c r="J31" s="29">
        <f t="shared" si="1"/>
        <v>0.1439631501</v>
      </c>
      <c r="K31" s="29">
        <f t="shared" si="2"/>
        <v>0.07738232325</v>
      </c>
      <c r="L31" s="29">
        <f t="shared" si="3"/>
        <v>0.1012739367</v>
      </c>
      <c r="M31" s="29">
        <f t="shared" si="4"/>
        <v>0.1528941574</v>
      </c>
      <c r="N31" s="29">
        <f t="shared" si="5"/>
        <v>0.1598823698</v>
      </c>
      <c r="P31" s="38" t="s">
        <v>579</v>
      </c>
      <c r="Q31" s="29">
        <f t="shared" si="6"/>
        <v>0.5758526006</v>
      </c>
      <c r="R31" s="29">
        <f t="shared" si="7"/>
        <v>0.2321469698</v>
      </c>
      <c r="S31" s="29">
        <f t="shared" si="8"/>
        <v>0.2025478734</v>
      </c>
      <c r="T31" s="29">
        <f t="shared" si="9"/>
        <v>0.6115766297</v>
      </c>
      <c r="U31" s="29">
        <f t="shared" si="10"/>
        <v>0.7994118492</v>
      </c>
      <c r="V31" s="87"/>
      <c r="W31" s="38" t="s">
        <v>580</v>
      </c>
      <c r="X31" s="29">
        <f t="shared" si="11"/>
        <v>0.9091055786</v>
      </c>
      <c r="Y31" s="73">
        <f t="shared" si="12"/>
        <v>0.8112541375</v>
      </c>
      <c r="Z31" s="68"/>
      <c r="AA31" s="38" t="s">
        <v>581</v>
      </c>
      <c r="AB31" s="74">
        <f t="shared" si="13"/>
        <v>0.4715607613</v>
      </c>
      <c r="AC31" s="57"/>
      <c r="AD31" s="68"/>
      <c r="AE31" s="68"/>
      <c r="AF31" s="68"/>
      <c r="AG31" s="68"/>
      <c r="AH31" s="68"/>
      <c r="AI31" s="68"/>
    </row>
    <row r="32">
      <c r="B32" s="39" t="s">
        <v>582</v>
      </c>
      <c r="C32" s="29">
        <f>IFS('data clean'!C33&lt;=1, 1, 'data clean'!C33&lt;=25, 2, 'data clean'!C33&lt;=50, 3, 'data clean'!C33&lt;=75, 4, TRUE, 5)</f>
        <v>2</v>
      </c>
      <c r="D32" s="29">
        <f>IFS('data clean'!D33&lt;=1, 1, 'data clean'!D33&lt;=25, 2, 'data clean'!D33&lt;=50, 3, 'data clean'!D33&lt;=75, 4, TRUE, 5)</f>
        <v>4</v>
      </c>
      <c r="E32" s="29">
        <f>IFS('data clean'!E33&lt;=1, 1, 'data clean'!E33&lt;=25, 2, 'data clean'!E33&lt;=50, 3, 'data clean'!E33&lt;=75, 4, TRUE, 5)</f>
        <v>2</v>
      </c>
      <c r="F32" s="29">
        <f>IFS('data clean'!F33&lt;=1, 1, 'data clean'!F33&lt;=3, 2, 'data clean'!F33&lt;=5, 3, 'data clean'!F33&lt;=7, 4, TRUE, 5)</f>
        <v>2</v>
      </c>
      <c r="G32" s="29">
        <f>IFS('data clean'!G33&lt;=100, 5, 'data clean'!G33&lt;=200, 4, 'data clean'!G33&lt;=350, 3, 'data clean'!G33&lt;=500, 2, TRUE, 1)</f>
        <v>5</v>
      </c>
      <c r="I32" s="39" t="s">
        <v>583</v>
      </c>
      <c r="J32" s="29">
        <f t="shared" si="1"/>
        <v>0.1439631501</v>
      </c>
      <c r="K32" s="29">
        <f t="shared" si="2"/>
        <v>0.309529293</v>
      </c>
      <c r="L32" s="29">
        <f t="shared" si="3"/>
        <v>0.1012739367</v>
      </c>
      <c r="M32" s="29">
        <f t="shared" si="4"/>
        <v>0.1019294383</v>
      </c>
      <c r="N32" s="29">
        <f t="shared" si="5"/>
        <v>0.1598823698</v>
      </c>
      <c r="P32" s="39" t="s">
        <v>584</v>
      </c>
      <c r="Q32" s="29">
        <f t="shared" si="6"/>
        <v>0.5758526006</v>
      </c>
      <c r="R32" s="29">
        <f t="shared" si="7"/>
        <v>0.928587879</v>
      </c>
      <c r="S32" s="29">
        <f t="shared" si="8"/>
        <v>0.2025478734</v>
      </c>
      <c r="T32" s="29">
        <f t="shared" si="9"/>
        <v>0.4077177532</v>
      </c>
      <c r="U32" s="29">
        <f t="shared" si="10"/>
        <v>0.7994118492</v>
      </c>
      <c r="V32" s="87"/>
      <c r="W32" s="39" t="s">
        <v>585</v>
      </c>
      <c r="X32" s="29">
        <f t="shared" si="11"/>
        <v>0.7411040553</v>
      </c>
      <c r="Y32" s="73">
        <f t="shared" si="12"/>
        <v>1.009201611</v>
      </c>
      <c r="Z32" s="68"/>
      <c r="AA32" s="39" t="s">
        <v>586</v>
      </c>
      <c r="AB32" s="74">
        <f t="shared" si="13"/>
        <v>0.5765859246</v>
      </c>
      <c r="AC32" s="57"/>
      <c r="AD32" s="68"/>
      <c r="AE32" s="68"/>
      <c r="AF32" s="68"/>
      <c r="AG32" s="68"/>
      <c r="AH32" s="68"/>
      <c r="AI32" s="68"/>
    </row>
    <row r="33">
      <c r="B33" s="39" t="s">
        <v>587</v>
      </c>
      <c r="C33" s="29">
        <f>IFS('data clean'!C34&lt;=1, 1, 'data clean'!C34&lt;=25, 2, 'data clean'!C34&lt;=50, 3, 'data clean'!C34&lt;=75, 4, TRUE, 5)</f>
        <v>2</v>
      </c>
      <c r="D33" s="29">
        <f>IFS('data clean'!D34&lt;=1, 1, 'data clean'!D34&lt;=25, 2, 'data clean'!D34&lt;=50, 3, 'data clean'!D34&lt;=75, 4, TRUE, 5)</f>
        <v>3</v>
      </c>
      <c r="E33" s="29">
        <f>IFS('data clean'!E34&lt;=1, 1, 'data clean'!E34&lt;=25, 2, 'data clean'!E34&lt;=50, 3, 'data clean'!E34&lt;=75, 4, TRUE, 5)</f>
        <v>2</v>
      </c>
      <c r="F33" s="29">
        <f>IFS('data clean'!F34&lt;=1, 1, 'data clean'!F34&lt;=3, 2, 'data clean'!F34&lt;=5, 3, 'data clean'!F34&lt;=7, 4, TRUE, 5)</f>
        <v>1</v>
      </c>
      <c r="G33" s="29">
        <f>IFS('data clean'!G34&lt;=100, 5, 'data clean'!G34&lt;=200, 4, 'data clean'!G34&lt;=350, 3, 'data clean'!G34&lt;=500, 2, TRUE, 1)</f>
        <v>5</v>
      </c>
      <c r="I33" s="39" t="s">
        <v>588</v>
      </c>
      <c r="J33" s="29">
        <f t="shared" si="1"/>
        <v>0.1439631501</v>
      </c>
      <c r="K33" s="29">
        <f t="shared" si="2"/>
        <v>0.2321469698</v>
      </c>
      <c r="L33" s="29">
        <f t="shared" si="3"/>
        <v>0.1012739367</v>
      </c>
      <c r="M33" s="29">
        <f t="shared" si="4"/>
        <v>0.05096471914</v>
      </c>
      <c r="N33" s="29">
        <f t="shared" si="5"/>
        <v>0.1598823698</v>
      </c>
      <c r="P33" s="39" t="s">
        <v>589</v>
      </c>
      <c r="Q33" s="29">
        <f t="shared" si="6"/>
        <v>0.5758526006</v>
      </c>
      <c r="R33" s="29">
        <f t="shared" si="7"/>
        <v>0.6964409093</v>
      </c>
      <c r="S33" s="29">
        <f t="shared" si="8"/>
        <v>0.2025478734</v>
      </c>
      <c r="T33" s="29">
        <f t="shared" si="9"/>
        <v>0.2038588766</v>
      </c>
      <c r="U33" s="29">
        <f t="shared" si="10"/>
        <v>0.7994118492</v>
      </c>
      <c r="V33" s="87"/>
      <c r="W33" s="39" t="s">
        <v>590</v>
      </c>
      <c r="X33" s="29">
        <f t="shared" si="11"/>
        <v>0.9455350481</v>
      </c>
      <c r="Y33" s="73">
        <f t="shared" si="12"/>
        <v>0.8411113908</v>
      </c>
      <c r="Z33" s="68"/>
      <c r="AA33" s="39" t="s">
        <v>591</v>
      </c>
      <c r="AB33" s="74">
        <f t="shared" si="13"/>
        <v>0.4707766307</v>
      </c>
      <c r="AC33" s="57"/>
      <c r="AD33" s="68"/>
      <c r="AE33" s="68"/>
      <c r="AF33" s="68"/>
      <c r="AG33" s="68"/>
      <c r="AH33" s="68"/>
      <c r="AI33" s="68"/>
    </row>
    <row r="34">
      <c r="B34" s="39" t="s">
        <v>592</v>
      </c>
      <c r="C34" s="29">
        <f>IFS('data clean'!C35&lt;=1, 1, 'data clean'!C35&lt;=25, 2, 'data clean'!C35&lt;=50, 3, 'data clean'!C35&lt;=75, 4, TRUE, 5)</f>
        <v>2</v>
      </c>
      <c r="D34" s="29">
        <f>IFS('data clean'!D35&lt;=1, 1, 'data clean'!D35&lt;=25, 2, 'data clean'!D35&lt;=50, 3, 'data clean'!D35&lt;=75, 4, TRUE, 5)</f>
        <v>2</v>
      </c>
      <c r="E34" s="29">
        <f>IFS('data clean'!E35&lt;=1, 1, 'data clean'!E35&lt;=25, 2, 'data clean'!E35&lt;=50, 3, 'data clean'!E35&lt;=75, 4, TRUE, 5)</f>
        <v>4</v>
      </c>
      <c r="F34" s="29">
        <f>IFS('data clean'!F35&lt;=1, 1, 'data clean'!F35&lt;=3, 2, 'data clean'!F35&lt;=5, 3, 'data clean'!F35&lt;=7, 4, TRUE, 5)</f>
        <v>1</v>
      </c>
      <c r="G34" s="29">
        <f>IFS('data clean'!G35&lt;=100, 5, 'data clean'!G35&lt;=200, 4, 'data clean'!G35&lt;=350, 3, 'data clean'!G35&lt;=500, 2, TRUE, 1)</f>
        <v>5</v>
      </c>
      <c r="I34" s="39" t="s">
        <v>593</v>
      </c>
      <c r="J34" s="29">
        <f t="shared" si="1"/>
        <v>0.1439631501</v>
      </c>
      <c r="K34" s="29">
        <f t="shared" si="2"/>
        <v>0.1547646465</v>
      </c>
      <c r="L34" s="29">
        <f t="shared" si="3"/>
        <v>0.2025478734</v>
      </c>
      <c r="M34" s="29">
        <f t="shared" si="4"/>
        <v>0.05096471914</v>
      </c>
      <c r="N34" s="29">
        <f t="shared" si="5"/>
        <v>0.1598823698</v>
      </c>
      <c r="P34" s="39" t="s">
        <v>594</v>
      </c>
      <c r="Q34" s="29">
        <f t="shared" si="6"/>
        <v>0.5758526006</v>
      </c>
      <c r="R34" s="29">
        <f t="shared" si="7"/>
        <v>0.4642939395</v>
      </c>
      <c r="S34" s="29">
        <f t="shared" si="8"/>
        <v>0.4050957468</v>
      </c>
      <c r="T34" s="29">
        <f t="shared" si="9"/>
        <v>0.2038588766</v>
      </c>
      <c r="U34" s="29">
        <f t="shared" si="10"/>
        <v>0.7994118492</v>
      </c>
      <c r="V34" s="87"/>
      <c r="W34" s="39" t="s">
        <v>595</v>
      </c>
      <c r="X34" s="29">
        <f t="shared" si="11"/>
        <v>0.9867430729</v>
      </c>
      <c r="Y34" s="73">
        <f t="shared" si="12"/>
        <v>0.7660400551</v>
      </c>
      <c r="Z34" s="68"/>
      <c r="AA34" s="39" t="s">
        <v>596</v>
      </c>
      <c r="AB34" s="74">
        <f t="shared" si="13"/>
        <v>0.4370421205</v>
      </c>
      <c r="AC34" s="57"/>
      <c r="AD34" s="68"/>
      <c r="AE34" s="68"/>
      <c r="AF34" s="68"/>
      <c r="AG34" s="68"/>
      <c r="AH34" s="68"/>
      <c r="AI34" s="68"/>
    </row>
    <row r="35">
      <c r="B35" s="39" t="s">
        <v>597</v>
      </c>
      <c r="C35" s="29">
        <f>IFS('data clean'!C36&lt;=1, 1, 'data clean'!C36&lt;=25, 2, 'data clean'!C36&lt;=50, 3, 'data clean'!C36&lt;=75, 4, TRUE, 5)</f>
        <v>2</v>
      </c>
      <c r="D35" s="29">
        <f>IFS('data clean'!D36&lt;=1, 1, 'data clean'!D36&lt;=25, 2, 'data clean'!D36&lt;=50, 3, 'data clean'!D36&lt;=75, 4, TRUE, 5)</f>
        <v>2</v>
      </c>
      <c r="E35" s="29">
        <f>IFS('data clean'!E36&lt;=1, 1, 'data clean'!E36&lt;=25, 2, 'data clean'!E36&lt;=50, 3, 'data clean'!E36&lt;=75, 4, TRUE, 5)</f>
        <v>4</v>
      </c>
      <c r="F35" s="29">
        <f>IFS('data clean'!F36&lt;=1, 1, 'data clean'!F36&lt;=3, 2, 'data clean'!F36&lt;=5, 3, 'data clean'!F36&lt;=7, 4, TRUE, 5)</f>
        <v>1</v>
      </c>
      <c r="G35" s="29">
        <f>IFS('data clean'!G36&lt;=100, 5, 'data clean'!G36&lt;=200, 4, 'data clean'!G36&lt;=350, 3, 'data clean'!G36&lt;=500, 2, TRUE, 1)</f>
        <v>5</v>
      </c>
      <c r="I35" s="39" t="s">
        <v>598</v>
      </c>
      <c r="J35" s="29">
        <f t="shared" si="1"/>
        <v>0.1439631501</v>
      </c>
      <c r="K35" s="29">
        <f t="shared" si="2"/>
        <v>0.1547646465</v>
      </c>
      <c r="L35" s="29">
        <f t="shared" si="3"/>
        <v>0.2025478734</v>
      </c>
      <c r="M35" s="29">
        <f t="shared" si="4"/>
        <v>0.05096471914</v>
      </c>
      <c r="N35" s="29">
        <f t="shared" si="5"/>
        <v>0.1598823698</v>
      </c>
      <c r="P35" s="39" t="s">
        <v>599</v>
      </c>
      <c r="Q35" s="29">
        <f t="shared" si="6"/>
        <v>0.5758526006</v>
      </c>
      <c r="R35" s="29">
        <f t="shared" si="7"/>
        <v>0.4642939395</v>
      </c>
      <c r="S35" s="29">
        <f t="shared" si="8"/>
        <v>0.4050957468</v>
      </c>
      <c r="T35" s="29">
        <f t="shared" si="9"/>
        <v>0.2038588766</v>
      </c>
      <c r="U35" s="29">
        <f t="shared" si="10"/>
        <v>0.7994118492</v>
      </c>
      <c r="V35" s="87"/>
      <c r="W35" s="39" t="s">
        <v>600</v>
      </c>
      <c r="X35" s="29">
        <f t="shared" si="11"/>
        <v>0.9867430729</v>
      </c>
      <c r="Y35" s="73">
        <f t="shared" si="12"/>
        <v>0.7660400551</v>
      </c>
      <c r="Z35" s="68"/>
      <c r="AA35" s="39" t="s">
        <v>601</v>
      </c>
      <c r="AB35" s="74">
        <f t="shared" si="13"/>
        <v>0.4370421205</v>
      </c>
      <c r="AC35" s="57"/>
      <c r="AD35" s="68"/>
      <c r="AE35" s="68"/>
      <c r="AF35" s="68"/>
      <c r="AG35" s="68"/>
      <c r="AH35" s="68"/>
      <c r="AI35" s="68"/>
    </row>
    <row r="36">
      <c r="B36" s="39" t="s">
        <v>602</v>
      </c>
      <c r="C36" s="29">
        <f>IFS('data clean'!C37&lt;=1, 1, 'data clean'!C37&lt;=25, 2, 'data clean'!C37&lt;=50, 3, 'data clean'!C37&lt;=75, 4, TRUE, 5)</f>
        <v>3</v>
      </c>
      <c r="D36" s="29">
        <f>IFS('data clean'!D37&lt;=1, 1, 'data clean'!D37&lt;=25, 2, 'data clean'!D37&lt;=50, 3, 'data clean'!D37&lt;=75, 4, TRUE, 5)</f>
        <v>3</v>
      </c>
      <c r="E36" s="29">
        <f>IFS('data clean'!E37&lt;=1, 1, 'data clean'!E37&lt;=25, 2, 'data clean'!E37&lt;=50, 3, 'data clean'!E37&lt;=75, 4, TRUE, 5)</f>
        <v>2</v>
      </c>
      <c r="F36" s="29">
        <f>IFS('data clean'!F37&lt;=1, 1, 'data clean'!F37&lt;=3, 2, 'data clean'!F37&lt;=5, 3, 'data clean'!F37&lt;=7, 4, TRUE, 5)</f>
        <v>2</v>
      </c>
      <c r="G36" s="29">
        <f>IFS('data clean'!G37&lt;=100, 5, 'data clean'!G37&lt;=200, 4, 'data clean'!G37&lt;=350, 3, 'data clean'!G37&lt;=500, 2, TRUE, 1)</f>
        <v>2</v>
      </c>
      <c r="I36" s="39" t="s">
        <v>603</v>
      </c>
      <c r="J36" s="29">
        <f t="shared" si="1"/>
        <v>0.2159447252</v>
      </c>
      <c r="K36" s="29">
        <f t="shared" si="2"/>
        <v>0.2321469698</v>
      </c>
      <c r="L36" s="29">
        <f t="shared" si="3"/>
        <v>0.1012739367</v>
      </c>
      <c r="M36" s="29">
        <f t="shared" si="4"/>
        <v>0.1019294383</v>
      </c>
      <c r="N36" s="29">
        <f t="shared" si="5"/>
        <v>0.06395294794</v>
      </c>
      <c r="P36" s="39" t="s">
        <v>604</v>
      </c>
      <c r="Q36" s="29">
        <f t="shared" si="6"/>
        <v>0.8637789009</v>
      </c>
      <c r="R36" s="29">
        <f t="shared" si="7"/>
        <v>0.6964409093</v>
      </c>
      <c r="S36" s="29">
        <f t="shared" si="8"/>
        <v>0.2025478734</v>
      </c>
      <c r="T36" s="29">
        <f t="shared" si="9"/>
        <v>0.4077177532</v>
      </c>
      <c r="U36" s="29">
        <f t="shared" si="10"/>
        <v>0.3197647397</v>
      </c>
      <c r="V36" s="87"/>
      <c r="W36" s="39" t="s">
        <v>605</v>
      </c>
      <c r="X36" s="29">
        <f t="shared" si="11"/>
        <v>0.8661912211</v>
      </c>
      <c r="Y36" s="73">
        <f t="shared" si="12"/>
        <v>0.7837703067</v>
      </c>
      <c r="Z36" s="68"/>
      <c r="AA36" s="39" t="s">
        <v>606</v>
      </c>
      <c r="AB36" s="74">
        <f t="shared" si="13"/>
        <v>0.4750233829</v>
      </c>
      <c r="AC36" s="57"/>
      <c r="AD36" s="68"/>
      <c r="AE36" s="68"/>
      <c r="AF36" s="68"/>
      <c r="AG36" s="68"/>
      <c r="AH36" s="68"/>
      <c r="AI36" s="68"/>
    </row>
    <row r="37">
      <c r="B37" s="39" t="s">
        <v>607</v>
      </c>
      <c r="C37" s="29">
        <f>IFS('data clean'!C38&lt;=1, 1, 'data clean'!C38&lt;=25, 2, 'data clean'!C38&lt;=50, 3, 'data clean'!C38&lt;=75, 4, TRUE, 5)</f>
        <v>3</v>
      </c>
      <c r="D37" s="29">
        <f>IFS('data clean'!D38&lt;=1, 1, 'data clean'!D38&lt;=25, 2, 'data clean'!D38&lt;=50, 3, 'data clean'!D38&lt;=75, 4, TRUE, 5)</f>
        <v>3</v>
      </c>
      <c r="E37" s="29">
        <f>IFS('data clean'!E38&lt;=1, 1, 'data clean'!E38&lt;=25, 2, 'data clean'!E38&lt;=50, 3, 'data clean'!E38&lt;=75, 4, TRUE, 5)</f>
        <v>2</v>
      </c>
      <c r="F37" s="29">
        <f>IFS('data clean'!F38&lt;=1, 1, 'data clean'!F38&lt;=3, 2, 'data clean'!F38&lt;=5, 3, 'data clean'!F38&lt;=7, 4, TRUE, 5)</f>
        <v>5</v>
      </c>
      <c r="G37" s="29">
        <f>IFS('data clean'!G38&lt;=100, 5, 'data clean'!G38&lt;=200, 4, 'data clean'!G38&lt;=350, 3, 'data clean'!G38&lt;=500, 2, TRUE, 1)</f>
        <v>4</v>
      </c>
      <c r="I37" s="39" t="s">
        <v>608</v>
      </c>
      <c r="J37" s="29">
        <f t="shared" si="1"/>
        <v>0.2159447252</v>
      </c>
      <c r="K37" s="29">
        <f t="shared" si="2"/>
        <v>0.2321469698</v>
      </c>
      <c r="L37" s="29">
        <f t="shared" si="3"/>
        <v>0.1012739367</v>
      </c>
      <c r="M37" s="29">
        <f t="shared" si="4"/>
        <v>0.2548235957</v>
      </c>
      <c r="N37" s="29">
        <f t="shared" si="5"/>
        <v>0.1279058959</v>
      </c>
      <c r="P37" s="39" t="s">
        <v>609</v>
      </c>
      <c r="Q37" s="29">
        <f t="shared" si="6"/>
        <v>0.8637789009</v>
      </c>
      <c r="R37" s="29">
        <f t="shared" si="7"/>
        <v>0.6964409093</v>
      </c>
      <c r="S37" s="29">
        <f t="shared" si="8"/>
        <v>0.2025478734</v>
      </c>
      <c r="T37" s="29">
        <f t="shared" si="9"/>
        <v>1.019294383</v>
      </c>
      <c r="U37" s="29">
        <f t="shared" si="10"/>
        <v>0.6395294794</v>
      </c>
      <c r="V37" s="87"/>
      <c r="W37" s="39" t="s">
        <v>610</v>
      </c>
      <c r="X37" s="29">
        <f t="shared" si="11"/>
        <v>0.4144421311</v>
      </c>
      <c r="Y37" s="73">
        <f t="shared" si="12"/>
        <v>1.200904449</v>
      </c>
      <c r="Z37" s="68"/>
      <c r="AA37" s="39" t="s">
        <v>611</v>
      </c>
      <c r="AB37" s="74">
        <f t="shared" si="13"/>
        <v>0.7434345444</v>
      </c>
      <c r="AC37" s="57"/>
      <c r="AD37" s="68"/>
      <c r="AE37" s="68"/>
      <c r="AF37" s="68"/>
      <c r="AG37" s="68"/>
      <c r="AH37" s="68"/>
      <c r="AI37" s="68"/>
    </row>
    <row r="38">
      <c r="B38" s="39" t="s">
        <v>612</v>
      </c>
      <c r="C38" s="29">
        <f>IFS('data clean'!C39&lt;=1, 1, 'data clean'!C39&lt;=25, 2, 'data clean'!C39&lt;=50, 3, 'data clean'!C39&lt;=75, 4, TRUE, 5)</f>
        <v>2</v>
      </c>
      <c r="D38" s="29">
        <f>IFS('data clean'!D39&lt;=1, 1, 'data clean'!D39&lt;=25, 2, 'data clean'!D39&lt;=50, 3, 'data clean'!D39&lt;=75, 4, TRUE, 5)</f>
        <v>2</v>
      </c>
      <c r="E38" s="29">
        <f>IFS('data clean'!E39&lt;=1, 1, 'data clean'!E39&lt;=25, 2, 'data clean'!E39&lt;=50, 3, 'data clean'!E39&lt;=75, 4, TRUE, 5)</f>
        <v>2</v>
      </c>
      <c r="F38" s="29">
        <f>IFS('data clean'!F39&lt;=1, 1, 'data clean'!F39&lt;=3, 2, 'data clean'!F39&lt;=5, 3, 'data clean'!F39&lt;=7, 4, TRUE, 5)</f>
        <v>1</v>
      </c>
      <c r="G38" s="29">
        <f>IFS('data clean'!G39&lt;=100, 5, 'data clean'!G39&lt;=200, 4, 'data clean'!G39&lt;=350, 3, 'data clean'!G39&lt;=500, 2, TRUE, 1)</f>
        <v>2</v>
      </c>
      <c r="I38" s="39" t="s">
        <v>613</v>
      </c>
      <c r="J38" s="29">
        <f t="shared" si="1"/>
        <v>0.1439631501</v>
      </c>
      <c r="K38" s="29">
        <f t="shared" si="2"/>
        <v>0.1547646465</v>
      </c>
      <c r="L38" s="29">
        <f t="shared" si="3"/>
        <v>0.1012739367</v>
      </c>
      <c r="M38" s="29">
        <f t="shared" si="4"/>
        <v>0.05096471914</v>
      </c>
      <c r="N38" s="29">
        <f t="shared" si="5"/>
        <v>0.06395294794</v>
      </c>
      <c r="P38" s="39" t="s">
        <v>614</v>
      </c>
      <c r="Q38" s="29">
        <f t="shared" si="6"/>
        <v>0.5758526006</v>
      </c>
      <c r="R38" s="29">
        <f t="shared" si="7"/>
        <v>0.4642939395</v>
      </c>
      <c r="S38" s="29">
        <f t="shared" si="8"/>
        <v>0.2025478734</v>
      </c>
      <c r="T38" s="29">
        <f t="shared" si="9"/>
        <v>0.2038588766</v>
      </c>
      <c r="U38" s="29">
        <f t="shared" si="10"/>
        <v>0.3197647397</v>
      </c>
      <c r="V38" s="87"/>
      <c r="W38" s="39" t="s">
        <v>615</v>
      </c>
      <c r="X38" s="29">
        <f t="shared" si="11"/>
        <v>1.133919981</v>
      </c>
      <c r="Y38" s="73">
        <f t="shared" si="12"/>
        <v>0.4029344142</v>
      </c>
      <c r="Z38" s="68"/>
      <c r="AA38" s="39" t="s">
        <v>616</v>
      </c>
      <c r="AB38" s="74">
        <f t="shared" si="13"/>
        <v>0.2621812551</v>
      </c>
      <c r="AC38" s="57"/>
      <c r="AD38" s="68"/>
      <c r="AE38" s="68"/>
      <c r="AF38" s="68"/>
      <c r="AG38" s="68"/>
      <c r="AH38" s="68"/>
      <c r="AI38" s="68"/>
    </row>
    <row r="39">
      <c r="B39" s="38" t="s">
        <v>617</v>
      </c>
      <c r="C39" s="29">
        <f>IFS('data clean'!C40&lt;=1, 1, 'data clean'!C40&lt;=25, 2, 'data clean'!C40&lt;=50, 3, 'data clean'!C40&lt;=75, 4, TRUE, 5)</f>
        <v>2</v>
      </c>
      <c r="D39" s="29">
        <f>IFS('data clean'!D40&lt;=1, 1, 'data clean'!D40&lt;=25, 2, 'data clean'!D40&lt;=50, 3, 'data clean'!D40&lt;=75, 4, TRUE, 5)</f>
        <v>1</v>
      </c>
      <c r="E39" s="29">
        <f>IFS('data clean'!E40&lt;=1, 1, 'data clean'!E40&lt;=25, 2, 'data clean'!E40&lt;=50, 3, 'data clean'!E40&lt;=75, 4, TRUE, 5)</f>
        <v>2</v>
      </c>
      <c r="F39" s="29">
        <f>IFS('data clean'!F40&lt;=1, 1, 'data clean'!F40&lt;=3, 2, 'data clean'!F40&lt;=5, 3, 'data clean'!F40&lt;=7, 4, TRUE, 5)</f>
        <v>4</v>
      </c>
      <c r="G39" s="29">
        <f>IFS('data clean'!G40&lt;=100, 5, 'data clean'!G40&lt;=200, 4, 'data clean'!G40&lt;=350, 3, 'data clean'!G40&lt;=500, 2, TRUE, 1)</f>
        <v>4</v>
      </c>
      <c r="I39" s="38" t="s">
        <v>618</v>
      </c>
      <c r="J39" s="29">
        <f t="shared" si="1"/>
        <v>0.1439631501</v>
      </c>
      <c r="K39" s="29">
        <f t="shared" si="2"/>
        <v>0.07738232325</v>
      </c>
      <c r="L39" s="29">
        <f t="shared" si="3"/>
        <v>0.1012739367</v>
      </c>
      <c r="M39" s="29">
        <f t="shared" si="4"/>
        <v>0.2038588766</v>
      </c>
      <c r="N39" s="29">
        <f t="shared" si="5"/>
        <v>0.1279058959</v>
      </c>
      <c r="P39" s="38" t="s">
        <v>619</v>
      </c>
      <c r="Q39" s="29">
        <f t="shared" si="6"/>
        <v>0.5758526006</v>
      </c>
      <c r="R39" s="29">
        <f t="shared" si="7"/>
        <v>0.2321469698</v>
      </c>
      <c r="S39" s="29">
        <f t="shared" si="8"/>
        <v>0.2025478734</v>
      </c>
      <c r="T39" s="29">
        <f t="shared" si="9"/>
        <v>0.8154355063</v>
      </c>
      <c r="U39" s="29">
        <f t="shared" si="10"/>
        <v>0.6395294794</v>
      </c>
      <c r="V39" s="87"/>
      <c r="W39" s="38" t="s">
        <v>620</v>
      </c>
      <c r="X39" s="29">
        <f t="shared" si="11"/>
        <v>0.8528540324</v>
      </c>
      <c r="Y39" s="73">
        <f t="shared" si="12"/>
        <v>0.8288479222</v>
      </c>
      <c r="Z39" s="68"/>
      <c r="AA39" s="38" t="s">
        <v>621</v>
      </c>
      <c r="AB39" s="74">
        <f t="shared" si="13"/>
        <v>0.4928625551</v>
      </c>
      <c r="AC39" s="57"/>
      <c r="AD39" s="68"/>
      <c r="AE39" s="68"/>
      <c r="AF39" s="68"/>
      <c r="AG39" s="68"/>
      <c r="AH39" s="68"/>
      <c r="AI39" s="68"/>
    </row>
    <row r="40">
      <c r="B40" s="39" t="s">
        <v>622</v>
      </c>
      <c r="C40" s="29">
        <f>IFS('data clean'!C41&lt;=1, 1, 'data clean'!C41&lt;=25, 2, 'data clean'!C41&lt;=50, 3, 'data clean'!C41&lt;=75, 4, TRUE, 5)</f>
        <v>2</v>
      </c>
      <c r="D40" s="29">
        <f>IFS('data clean'!D41&lt;=1, 1, 'data clean'!D41&lt;=25, 2, 'data clean'!D41&lt;=50, 3, 'data clean'!D41&lt;=75, 4, TRUE, 5)</f>
        <v>2</v>
      </c>
      <c r="E40" s="29">
        <f>IFS('data clean'!E41&lt;=1, 1, 'data clean'!E41&lt;=25, 2, 'data clean'!E41&lt;=50, 3, 'data clean'!E41&lt;=75, 4, TRUE, 5)</f>
        <v>2</v>
      </c>
      <c r="F40" s="29">
        <f>IFS('data clean'!F41&lt;=1, 1, 'data clean'!F41&lt;=3, 2, 'data clean'!F41&lt;=5, 3, 'data clean'!F41&lt;=7, 4, TRUE, 5)</f>
        <v>1</v>
      </c>
      <c r="G40" s="29">
        <f>IFS('data clean'!G41&lt;=100, 5, 'data clean'!G41&lt;=200, 4, 'data clean'!G41&lt;=350, 3, 'data clean'!G41&lt;=500, 2, TRUE, 1)</f>
        <v>4</v>
      </c>
      <c r="I40" s="39" t="s">
        <v>623</v>
      </c>
      <c r="J40" s="29">
        <f t="shared" si="1"/>
        <v>0.1439631501</v>
      </c>
      <c r="K40" s="29">
        <f t="shared" si="2"/>
        <v>0.1547646465</v>
      </c>
      <c r="L40" s="29">
        <f t="shared" si="3"/>
        <v>0.1012739367</v>
      </c>
      <c r="M40" s="29">
        <f t="shared" si="4"/>
        <v>0.05096471914</v>
      </c>
      <c r="N40" s="29">
        <f t="shared" si="5"/>
        <v>0.1279058959</v>
      </c>
      <c r="P40" s="39" t="s">
        <v>624</v>
      </c>
      <c r="Q40" s="29">
        <f t="shared" si="6"/>
        <v>0.5758526006</v>
      </c>
      <c r="R40" s="29">
        <f t="shared" si="7"/>
        <v>0.4642939395</v>
      </c>
      <c r="S40" s="29">
        <f t="shared" si="8"/>
        <v>0.2025478734</v>
      </c>
      <c r="T40" s="29">
        <f t="shared" si="9"/>
        <v>0.2038588766</v>
      </c>
      <c r="U40" s="29">
        <f t="shared" si="10"/>
        <v>0.6395294794</v>
      </c>
      <c r="V40" s="87"/>
      <c r="W40" s="39" t="s">
        <v>625</v>
      </c>
      <c r="X40" s="29">
        <f t="shared" si="11"/>
        <v>1.039844001</v>
      </c>
      <c r="Y40" s="73">
        <f t="shared" si="12"/>
        <v>0.6056856608</v>
      </c>
      <c r="Z40" s="68"/>
      <c r="AA40" s="39" t="s">
        <v>626</v>
      </c>
      <c r="AB40" s="74">
        <f t="shared" si="13"/>
        <v>0.3680794548</v>
      </c>
      <c r="AC40" s="57"/>
      <c r="AD40" s="68"/>
      <c r="AE40" s="68"/>
      <c r="AF40" s="68"/>
      <c r="AG40" s="68"/>
      <c r="AH40" s="68"/>
      <c r="AI40" s="68"/>
    </row>
    <row r="41">
      <c r="B41" s="39" t="s">
        <v>627</v>
      </c>
      <c r="C41" s="29">
        <f>IFS('data clean'!C42&lt;=1, 1, 'data clean'!C42&lt;=25, 2, 'data clean'!C42&lt;=50, 3, 'data clean'!C42&lt;=75, 4, TRUE, 5)</f>
        <v>2</v>
      </c>
      <c r="D41" s="29">
        <f>IFS('data clean'!D42&lt;=1, 1, 'data clean'!D42&lt;=25, 2, 'data clean'!D42&lt;=50, 3, 'data clean'!D42&lt;=75, 4, TRUE, 5)</f>
        <v>2</v>
      </c>
      <c r="E41" s="29">
        <f>IFS('data clean'!E42&lt;=1, 1, 'data clean'!E42&lt;=25, 2, 'data clean'!E42&lt;=50, 3, 'data clean'!E42&lt;=75, 4, TRUE, 5)</f>
        <v>2</v>
      </c>
      <c r="F41" s="29">
        <f>IFS('data clean'!F42&lt;=1, 1, 'data clean'!F42&lt;=3, 2, 'data clean'!F42&lt;=5, 3, 'data clean'!F42&lt;=7, 4, TRUE, 5)</f>
        <v>1</v>
      </c>
      <c r="G41" s="29">
        <f>IFS('data clean'!G42&lt;=100, 5, 'data clean'!G42&lt;=200, 4, 'data clean'!G42&lt;=350, 3, 'data clean'!G42&lt;=500, 2, TRUE, 1)</f>
        <v>5</v>
      </c>
      <c r="I41" s="39" t="s">
        <v>628</v>
      </c>
      <c r="J41" s="29">
        <f t="shared" si="1"/>
        <v>0.1439631501</v>
      </c>
      <c r="K41" s="29">
        <f t="shared" si="2"/>
        <v>0.1547646465</v>
      </c>
      <c r="L41" s="29">
        <f t="shared" si="3"/>
        <v>0.1012739367</v>
      </c>
      <c r="M41" s="29">
        <f t="shared" si="4"/>
        <v>0.05096471914</v>
      </c>
      <c r="N41" s="29">
        <f t="shared" si="5"/>
        <v>0.1598823698</v>
      </c>
      <c r="P41" s="39" t="s">
        <v>629</v>
      </c>
      <c r="Q41" s="29">
        <f t="shared" si="6"/>
        <v>0.5758526006</v>
      </c>
      <c r="R41" s="29">
        <f t="shared" si="7"/>
        <v>0.4642939395</v>
      </c>
      <c r="S41" s="29">
        <f t="shared" si="8"/>
        <v>0.2025478734</v>
      </c>
      <c r="T41" s="29">
        <f t="shared" si="9"/>
        <v>0.2038588766</v>
      </c>
      <c r="U41" s="29">
        <f t="shared" si="10"/>
        <v>0.7994118492</v>
      </c>
      <c r="V41" s="87"/>
      <c r="W41" s="39" t="s">
        <v>630</v>
      </c>
      <c r="X41" s="29">
        <f t="shared" si="11"/>
        <v>1.027479038</v>
      </c>
      <c r="Y41" s="73">
        <f t="shared" si="12"/>
        <v>0.7387771822</v>
      </c>
      <c r="Z41" s="68"/>
      <c r="AA41" s="39" t="s">
        <v>631</v>
      </c>
      <c r="AB41" s="74">
        <f t="shared" si="13"/>
        <v>0.4182729401</v>
      </c>
      <c r="AC41" s="57"/>
      <c r="AD41" s="68"/>
      <c r="AE41" s="68"/>
      <c r="AF41" s="68"/>
      <c r="AG41" s="68"/>
      <c r="AH41" s="68"/>
      <c r="AI41" s="68"/>
    </row>
    <row r="42">
      <c r="B42" s="38" t="s">
        <v>632</v>
      </c>
      <c r="C42" s="29">
        <f>IFS('data clean'!C43&lt;=1, 1, 'data clean'!C43&lt;=25, 2, 'data clean'!C43&lt;=50, 3, 'data clean'!C43&lt;=75, 4, TRUE, 5)</f>
        <v>2</v>
      </c>
      <c r="D42" s="29">
        <f>IFS('data clean'!D43&lt;=1, 1, 'data clean'!D43&lt;=25, 2, 'data clean'!D43&lt;=50, 3, 'data clean'!D43&lt;=75, 4, TRUE, 5)</f>
        <v>2</v>
      </c>
      <c r="E42" s="29">
        <f>IFS('data clean'!E43&lt;=1, 1, 'data clean'!E43&lt;=25, 2, 'data clean'!E43&lt;=50, 3, 'data clean'!E43&lt;=75, 4, TRUE, 5)</f>
        <v>2</v>
      </c>
      <c r="F42" s="29">
        <f>IFS('data clean'!F43&lt;=1, 1, 'data clean'!F43&lt;=3, 2, 'data clean'!F43&lt;=5, 3, 'data clean'!F43&lt;=7, 4, TRUE, 5)</f>
        <v>1</v>
      </c>
      <c r="G42" s="29">
        <f>IFS('data clean'!G43&lt;=100, 5, 'data clean'!G43&lt;=200, 4, 'data clean'!G43&lt;=350, 3, 'data clean'!G43&lt;=500, 2, TRUE, 1)</f>
        <v>1</v>
      </c>
      <c r="I42" s="38" t="s">
        <v>633</v>
      </c>
      <c r="J42" s="29">
        <f t="shared" si="1"/>
        <v>0.1439631501</v>
      </c>
      <c r="K42" s="29">
        <f t="shared" si="2"/>
        <v>0.1547646465</v>
      </c>
      <c r="L42" s="29">
        <f t="shared" si="3"/>
        <v>0.1012739367</v>
      </c>
      <c r="M42" s="29">
        <f t="shared" si="4"/>
        <v>0.05096471914</v>
      </c>
      <c r="N42" s="29">
        <f t="shared" si="5"/>
        <v>0.03197647397</v>
      </c>
      <c r="P42" s="38" t="s">
        <v>634</v>
      </c>
      <c r="Q42" s="29">
        <f t="shared" si="6"/>
        <v>0.5758526006</v>
      </c>
      <c r="R42" s="29">
        <f t="shared" si="7"/>
        <v>0.4642939395</v>
      </c>
      <c r="S42" s="29">
        <f t="shared" si="8"/>
        <v>0.2025478734</v>
      </c>
      <c r="T42" s="29">
        <f t="shared" si="9"/>
        <v>0.2038588766</v>
      </c>
      <c r="U42" s="29">
        <f t="shared" si="10"/>
        <v>0.1598823698</v>
      </c>
      <c r="V42" s="87"/>
      <c r="W42" s="38" t="s">
        <v>635</v>
      </c>
      <c r="X42" s="29">
        <f t="shared" si="11"/>
        <v>1.210252506</v>
      </c>
      <c r="Y42" s="73">
        <f t="shared" si="12"/>
        <v>0.3698564181</v>
      </c>
      <c r="Z42" s="68"/>
      <c r="AA42" s="38" t="s">
        <v>636</v>
      </c>
      <c r="AB42" s="74">
        <f t="shared" si="13"/>
        <v>0.2340702039</v>
      </c>
      <c r="AC42" s="57"/>
      <c r="AD42" s="68"/>
      <c r="AE42" s="68"/>
      <c r="AF42" s="68"/>
      <c r="AG42" s="68"/>
      <c r="AH42" s="68"/>
      <c r="AI42" s="68"/>
    </row>
    <row r="43">
      <c r="B43" s="39" t="s">
        <v>637</v>
      </c>
      <c r="C43" s="29">
        <f>IFS('data clean'!C44&lt;=1, 1, 'data clean'!C44&lt;=25, 2, 'data clean'!C44&lt;=50, 3, 'data clean'!C44&lt;=75, 4, TRUE, 5)</f>
        <v>2</v>
      </c>
      <c r="D43" s="29">
        <f>IFS('data clean'!D44&lt;=1, 1, 'data clean'!D44&lt;=25, 2, 'data clean'!D44&lt;=50, 3, 'data clean'!D44&lt;=75, 4, TRUE, 5)</f>
        <v>3</v>
      </c>
      <c r="E43" s="29">
        <f>IFS('data clean'!E44&lt;=1, 1, 'data clean'!E44&lt;=25, 2, 'data clean'!E44&lt;=50, 3, 'data clean'!E44&lt;=75, 4, TRUE, 5)</f>
        <v>2</v>
      </c>
      <c r="F43" s="29">
        <f>IFS('data clean'!F44&lt;=1, 1, 'data clean'!F44&lt;=3, 2, 'data clean'!F44&lt;=5, 3, 'data clean'!F44&lt;=7, 4, TRUE, 5)</f>
        <v>3</v>
      </c>
      <c r="G43" s="29">
        <f>IFS('data clean'!G44&lt;=100, 5, 'data clean'!G44&lt;=200, 4, 'data clean'!G44&lt;=350, 3, 'data clean'!G44&lt;=500, 2, TRUE, 1)</f>
        <v>5</v>
      </c>
      <c r="I43" s="39" t="s">
        <v>638</v>
      </c>
      <c r="J43" s="29">
        <f t="shared" si="1"/>
        <v>0.1439631501</v>
      </c>
      <c r="K43" s="29">
        <f t="shared" si="2"/>
        <v>0.2321469698</v>
      </c>
      <c r="L43" s="29">
        <f t="shared" si="3"/>
        <v>0.1012739367</v>
      </c>
      <c r="M43" s="29">
        <f t="shared" si="4"/>
        <v>0.1528941574</v>
      </c>
      <c r="N43" s="29">
        <f t="shared" si="5"/>
        <v>0.1598823698</v>
      </c>
      <c r="P43" s="39" t="s">
        <v>639</v>
      </c>
      <c r="Q43" s="29">
        <f t="shared" si="6"/>
        <v>0.5758526006</v>
      </c>
      <c r="R43" s="29">
        <f t="shared" si="7"/>
        <v>0.6964409093</v>
      </c>
      <c r="S43" s="29">
        <f t="shared" si="8"/>
        <v>0.2025478734</v>
      </c>
      <c r="T43" s="29">
        <f t="shared" si="9"/>
        <v>0.6115766297</v>
      </c>
      <c r="U43" s="29">
        <f t="shared" si="10"/>
        <v>0.7994118492</v>
      </c>
      <c r="V43" s="87"/>
      <c r="W43" s="39" t="s">
        <v>640</v>
      </c>
      <c r="X43" s="29">
        <f t="shared" si="11"/>
        <v>0.6287568914</v>
      </c>
      <c r="Y43" s="73">
        <f t="shared" si="12"/>
        <v>0.9347203528</v>
      </c>
      <c r="Z43" s="68"/>
      <c r="AA43" s="39" t="s">
        <v>641</v>
      </c>
      <c r="AB43" s="74">
        <f t="shared" si="13"/>
        <v>0.5978471105</v>
      </c>
      <c r="AC43" s="57"/>
      <c r="AD43" s="68"/>
      <c r="AE43" s="68"/>
      <c r="AF43" s="68"/>
      <c r="AG43" s="68"/>
      <c r="AH43" s="68"/>
      <c r="AI43" s="68"/>
    </row>
    <row r="44">
      <c r="B44" s="39" t="s">
        <v>642</v>
      </c>
      <c r="C44" s="29">
        <f>IFS('data clean'!C45&lt;=1, 1, 'data clean'!C45&lt;=25, 2, 'data clean'!C45&lt;=50, 3, 'data clean'!C45&lt;=75, 4, TRUE, 5)</f>
        <v>2</v>
      </c>
      <c r="D44" s="29">
        <f>IFS('data clean'!D45&lt;=1, 1, 'data clean'!D45&lt;=25, 2, 'data clean'!D45&lt;=50, 3, 'data clean'!D45&lt;=75, 4, TRUE, 5)</f>
        <v>2</v>
      </c>
      <c r="E44" s="29">
        <f>IFS('data clean'!E45&lt;=1, 1, 'data clean'!E45&lt;=25, 2, 'data clean'!E45&lt;=50, 3, 'data clean'!E45&lt;=75, 4, TRUE, 5)</f>
        <v>2</v>
      </c>
      <c r="F44" s="29">
        <f>IFS('data clean'!F45&lt;=1, 1, 'data clean'!F45&lt;=3, 2, 'data clean'!F45&lt;=5, 3, 'data clean'!F45&lt;=7, 4, TRUE, 5)</f>
        <v>1</v>
      </c>
      <c r="G44" s="29">
        <f>IFS('data clean'!G45&lt;=100, 5, 'data clean'!G45&lt;=200, 4, 'data clean'!G45&lt;=350, 3, 'data clean'!G45&lt;=500, 2, TRUE, 1)</f>
        <v>2</v>
      </c>
      <c r="I44" s="39" t="s">
        <v>643</v>
      </c>
      <c r="J44" s="29">
        <f t="shared" si="1"/>
        <v>0.1439631501</v>
      </c>
      <c r="K44" s="29">
        <f t="shared" si="2"/>
        <v>0.1547646465</v>
      </c>
      <c r="L44" s="29">
        <f t="shared" si="3"/>
        <v>0.1012739367</v>
      </c>
      <c r="M44" s="29">
        <f t="shared" si="4"/>
        <v>0.05096471914</v>
      </c>
      <c r="N44" s="29">
        <f t="shared" si="5"/>
        <v>0.06395294794</v>
      </c>
      <c r="P44" s="39" t="s">
        <v>644</v>
      </c>
      <c r="Q44" s="29">
        <f t="shared" si="6"/>
        <v>0.5758526006</v>
      </c>
      <c r="R44" s="29">
        <f t="shared" si="7"/>
        <v>0.4642939395</v>
      </c>
      <c r="S44" s="29">
        <f t="shared" si="8"/>
        <v>0.2025478734</v>
      </c>
      <c r="T44" s="29">
        <f t="shared" si="9"/>
        <v>0.2038588766</v>
      </c>
      <c r="U44" s="29">
        <f t="shared" si="10"/>
        <v>0.3197647397</v>
      </c>
      <c r="V44" s="87"/>
      <c r="W44" s="39" t="s">
        <v>645</v>
      </c>
      <c r="X44" s="29">
        <f t="shared" si="11"/>
        <v>1.133919981</v>
      </c>
      <c r="Y44" s="73">
        <f t="shared" si="12"/>
        <v>0.4029344142</v>
      </c>
      <c r="Z44" s="68"/>
      <c r="AA44" s="39" t="s">
        <v>646</v>
      </c>
      <c r="AB44" s="74">
        <f t="shared" si="13"/>
        <v>0.2621812551</v>
      </c>
      <c r="AC44" s="57"/>
      <c r="AD44" s="68"/>
      <c r="AE44" s="68"/>
      <c r="AF44" s="68"/>
      <c r="AG44" s="68"/>
      <c r="AH44" s="68"/>
      <c r="AI44" s="68"/>
    </row>
    <row r="45">
      <c r="B45" s="39" t="s">
        <v>647</v>
      </c>
      <c r="C45" s="29">
        <f>IFS('data clean'!C46&lt;=1, 1, 'data clean'!C46&lt;=25, 2, 'data clean'!C46&lt;=50, 3, 'data clean'!C46&lt;=75, 4, TRUE, 5)</f>
        <v>2</v>
      </c>
      <c r="D45" s="29">
        <f>IFS('data clean'!D46&lt;=1, 1, 'data clean'!D46&lt;=25, 2, 'data clean'!D46&lt;=50, 3, 'data clean'!D46&lt;=75, 4, TRUE, 5)</f>
        <v>2</v>
      </c>
      <c r="E45" s="29">
        <f>IFS('data clean'!E46&lt;=1, 1, 'data clean'!E46&lt;=25, 2, 'data clean'!E46&lt;=50, 3, 'data clean'!E46&lt;=75, 4, TRUE, 5)</f>
        <v>2</v>
      </c>
      <c r="F45" s="29">
        <f>IFS('data clean'!F46&lt;=1, 1, 'data clean'!F46&lt;=3, 2, 'data clean'!F46&lt;=5, 3, 'data clean'!F46&lt;=7, 4, TRUE, 5)</f>
        <v>2</v>
      </c>
      <c r="G45" s="29">
        <f>IFS('data clean'!G46&lt;=100, 5, 'data clean'!G46&lt;=200, 4, 'data clean'!G46&lt;=350, 3, 'data clean'!G46&lt;=500, 2, TRUE, 1)</f>
        <v>3</v>
      </c>
      <c r="I45" s="39" t="s">
        <v>648</v>
      </c>
      <c r="J45" s="29">
        <f t="shared" si="1"/>
        <v>0.1439631501</v>
      </c>
      <c r="K45" s="29">
        <f t="shared" si="2"/>
        <v>0.1547646465</v>
      </c>
      <c r="L45" s="29">
        <f t="shared" si="3"/>
        <v>0.1012739367</v>
      </c>
      <c r="M45" s="29">
        <f t="shared" si="4"/>
        <v>0.1019294383</v>
      </c>
      <c r="N45" s="29">
        <f t="shared" si="5"/>
        <v>0.09592942191</v>
      </c>
      <c r="P45" s="39" t="s">
        <v>649</v>
      </c>
      <c r="Q45" s="29">
        <f t="shared" si="6"/>
        <v>0.5758526006</v>
      </c>
      <c r="R45" s="29">
        <f t="shared" si="7"/>
        <v>0.4642939395</v>
      </c>
      <c r="S45" s="29">
        <f t="shared" si="8"/>
        <v>0.2025478734</v>
      </c>
      <c r="T45" s="29">
        <f t="shared" si="9"/>
        <v>0.4077177532</v>
      </c>
      <c r="U45" s="29">
        <f t="shared" si="10"/>
        <v>0.4796471095</v>
      </c>
      <c r="V45" s="87"/>
      <c r="W45" s="39" t="s">
        <v>650</v>
      </c>
      <c r="X45" s="29">
        <f t="shared" si="11"/>
        <v>0.9311571144</v>
      </c>
      <c r="Y45" s="73">
        <f t="shared" si="12"/>
        <v>0.5297185104</v>
      </c>
      <c r="Z45" s="68"/>
      <c r="AA45" s="39" t="s">
        <v>651</v>
      </c>
      <c r="AB45" s="74">
        <f t="shared" si="13"/>
        <v>0.3626034287</v>
      </c>
      <c r="AC45" s="57"/>
      <c r="AD45" s="68"/>
      <c r="AE45" s="68"/>
      <c r="AF45" s="68"/>
      <c r="AG45" s="68"/>
      <c r="AH45" s="68"/>
      <c r="AI45" s="68"/>
    </row>
    <row r="46">
      <c r="B46" s="39" t="s">
        <v>652</v>
      </c>
      <c r="C46" s="29">
        <f>IFS('data clean'!C47&lt;=1, 1, 'data clean'!C47&lt;=25, 2, 'data clean'!C47&lt;=50, 3, 'data clean'!C47&lt;=75, 4, TRUE, 5)</f>
        <v>2</v>
      </c>
      <c r="D46" s="29">
        <f>IFS('data clean'!D47&lt;=1, 1, 'data clean'!D47&lt;=25, 2, 'data clean'!D47&lt;=50, 3, 'data clean'!D47&lt;=75, 4, TRUE, 5)</f>
        <v>2</v>
      </c>
      <c r="E46" s="29">
        <f>IFS('data clean'!E47&lt;=1, 1, 'data clean'!E47&lt;=25, 2, 'data clean'!E47&lt;=50, 3, 'data clean'!E47&lt;=75, 4, TRUE, 5)</f>
        <v>2</v>
      </c>
      <c r="F46" s="29">
        <f>IFS('data clean'!F47&lt;=1, 1, 'data clean'!F47&lt;=3, 2, 'data clean'!F47&lt;=5, 3, 'data clean'!F47&lt;=7, 4, TRUE, 5)</f>
        <v>2</v>
      </c>
      <c r="G46" s="29">
        <f>IFS('data clean'!G47&lt;=100, 5, 'data clean'!G47&lt;=200, 4, 'data clean'!G47&lt;=350, 3, 'data clean'!G47&lt;=500, 2, TRUE, 1)</f>
        <v>3</v>
      </c>
      <c r="I46" s="39" t="s">
        <v>653</v>
      </c>
      <c r="J46" s="29">
        <f t="shared" si="1"/>
        <v>0.1439631501</v>
      </c>
      <c r="K46" s="29">
        <f t="shared" si="2"/>
        <v>0.1547646465</v>
      </c>
      <c r="L46" s="29">
        <f t="shared" si="3"/>
        <v>0.1012739367</v>
      </c>
      <c r="M46" s="29">
        <f t="shared" si="4"/>
        <v>0.1019294383</v>
      </c>
      <c r="N46" s="29">
        <f t="shared" si="5"/>
        <v>0.09592942191</v>
      </c>
      <c r="P46" s="39" t="s">
        <v>654</v>
      </c>
      <c r="Q46" s="29">
        <f t="shared" si="6"/>
        <v>0.5758526006</v>
      </c>
      <c r="R46" s="29">
        <f t="shared" si="7"/>
        <v>0.4642939395</v>
      </c>
      <c r="S46" s="29">
        <f t="shared" si="8"/>
        <v>0.2025478734</v>
      </c>
      <c r="T46" s="29">
        <f t="shared" si="9"/>
        <v>0.4077177532</v>
      </c>
      <c r="U46" s="29">
        <f t="shared" si="10"/>
        <v>0.4796471095</v>
      </c>
      <c r="V46" s="87"/>
      <c r="W46" s="39" t="s">
        <v>655</v>
      </c>
      <c r="X46" s="29">
        <f t="shared" si="11"/>
        <v>0.9311571144</v>
      </c>
      <c r="Y46" s="73">
        <f t="shared" si="12"/>
        <v>0.5297185104</v>
      </c>
      <c r="Z46" s="68"/>
      <c r="AA46" s="39" t="s">
        <v>656</v>
      </c>
      <c r="AB46" s="74">
        <f t="shared" si="13"/>
        <v>0.3626034287</v>
      </c>
      <c r="AC46" s="57"/>
      <c r="AD46" s="68"/>
      <c r="AE46" s="68"/>
      <c r="AF46" s="68"/>
      <c r="AG46" s="68"/>
      <c r="AH46" s="68"/>
      <c r="AI46" s="68"/>
    </row>
    <row r="47">
      <c r="B47" s="38" t="s">
        <v>657</v>
      </c>
      <c r="C47" s="29">
        <f>IFS('data clean'!C48&lt;=1, 1, 'data clean'!C48&lt;=25, 2, 'data clean'!C48&lt;=50, 3, 'data clean'!C48&lt;=75, 4, TRUE, 5)</f>
        <v>1</v>
      </c>
      <c r="D47" s="29">
        <f>IFS('data clean'!D48&lt;=1, 1, 'data clean'!D48&lt;=25, 2, 'data clean'!D48&lt;=50, 3, 'data clean'!D48&lt;=75, 4, TRUE, 5)</f>
        <v>1</v>
      </c>
      <c r="E47" s="29">
        <f>IFS('data clean'!E48&lt;=1, 1, 'data clean'!E48&lt;=25, 2, 'data clean'!E48&lt;=50, 3, 'data clean'!E48&lt;=75, 4, TRUE, 5)</f>
        <v>2</v>
      </c>
      <c r="F47" s="29">
        <f>IFS('data clean'!F48&lt;=1, 1, 'data clean'!F48&lt;=3, 2, 'data clean'!F48&lt;=5, 3, 'data clean'!F48&lt;=7, 4, TRUE, 5)</f>
        <v>2</v>
      </c>
      <c r="G47" s="29">
        <f>IFS('data clean'!G48&lt;=100, 5, 'data clean'!G48&lt;=200, 4, 'data clean'!G48&lt;=350, 3, 'data clean'!G48&lt;=500, 2, TRUE, 1)</f>
        <v>5</v>
      </c>
      <c r="I47" s="38" t="s">
        <v>658</v>
      </c>
      <c r="J47" s="29">
        <f t="shared" si="1"/>
        <v>0.07198157507</v>
      </c>
      <c r="K47" s="29">
        <f t="shared" si="2"/>
        <v>0.07738232325</v>
      </c>
      <c r="L47" s="29">
        <f t="shared" si="3"/>
        <v>0.1012739367</v>
      </c>
      <c r="M47" s="29">
        <f t="shared" si="4"/>
        <v>0.1019294383</v>
      </c>
      <c r="N47" s="29">
        <f t="shared" si="5"/>
        <v>0.1598823698</v>
      </c>
      <c r="P47" s="38" t="s">
        <v>659</v>
      </c>
      <c r="Q47" s="29">
        <f t="shared" si="6"/>
        <v>0.2879263003</v>
      </c>
      <c r="R47" s="29">
        <f t="shared" si="7"/>
        <v>0.2321469698</v>
      </c>
      <c r="S47" s="29">
        <f t="shared" si="8"/>
        <v>0.2025478734</v>
      </c>
      <c r="T47" s="29">
        <f t="shared" si="9"/>
        <v>0.4077177532</v>
      </c>
      <c r="U47" s="29">
        <f t="shared" si="10"/>
        <v>0.7994118492</v>
      </c>
      <c r="V47" s="87"/>
      <c r="W47" s="38" t="s">
        <v>660</v>
      </c>
      <c r="X47" s="29">
        <f t="shared" si="11"/>
        <v>1.132682579</v>
      </c>
      <c r="Y47" s="73">
        <f t="shared" si="12"/>
        <v>0.6712349787</v>
      </c>
      <c r="Z47" s="68"/>
      <c r="AA47" s="38" t="s">
        <v>661</v>
      </c>
      <c r="AB47" s="74">
        <f t="shared" si="13"/>
        <v>0.3720984786</v>
      </c>
      <c r="AC47" s="57"/>
      <c r="AD47" s="68"/>
      <c r="AE47" s="68"/>
      <c r="AF47" s="68"/>
      <c r="AG47" s="68"/>
      <c r="AH47" s="68"/>
      <c r="AI47" s="68"/>
    </row>
    <row r="48">
      <c r="B48" s="39" t="s">
        <v>662</v>
      </c>
      <c r="C48" s="29">
        <f>IFS('data clean'!C49&lt;=1, 1, 'data clean'!C49&lt;=25, 2, 'data clean'!C49&lt;=50, 3, 'data clean'!C49&lt;=75, 4, TRUE, 5)</f>
        <v>1</v>
      </c>
      <c r="D48" s="29">
        <f>IFS('data clean'!D49&lt;=1, 1, 'data clean'!D49&lt;=25, 2, 'data clean'!D49&lt;=50, 3, 'data clean'!D49&lt;=75, 4, TRUE, 5)</f>
        <v>1</v>
      </c>
      <c r="E48" s="29">
        <f>IFS('data clean'!E49&lt;=1, 1, 'data clean'!E49&lt;=25, 2, 'data clean'!E49&lt;=50, 3, 'data clean'!E49&lt;=75, 4, TRUE, 5)</f>
        <v>2</v>
      </c>
      <c r="F48" s="29">
        <f>IFS('data clean'!F49&lt;=1, 1, 'data clean'!F49&lt;=3, 2, 'data clean'!F49&lt;=5, 3, 'data clean'!F49&lt;=7, 4, TRUE, 5)</f>
        <v>2</v>
      </c>
      <c r="G48" s="29">
        <f>IFS('data clean'!G49&lt;=100, 5, 'data clean'!G49&lt;=200, 4, 'data clean'!G49&lt;=350, 3, 'data clean'!G49&lt;=500, 2, TRUE, 1)</f>
        <v>5</v>
      </c>
      <c r="I48" s="39" t="s">
        <v>663</v>
      </c>
      <c r="J48" s="29">
        <f t="shared" si="1"/>
        <v>0.07198157507</v>
      </c>
      <c r="K48" s="29">
        <f t="shared" si="2"/>
        <v>0.07738232325</v>
      </c>
      <c r="L48" s="29">
        <f t="shared" si="3"/>
        <v>0.1012739367</v>
      </c>
      <c r="M48" s="29">
        <f t="shared" si="4"/>
        <v>0.1019294383</v>
      </c>
      <c r="N48" s="29">
        <f t="shared" si="5"/>
        <v>0.1598823698</v>
      </c>
      <c r="P48" s="39" t="s">
        <v>664</v>
      </c>
      <c r="Q48" s="29">
        <f t="shared" si="6"/>
        <v>0.2879263003</v>
      </c>
      <c r="R48" s="29">
        <f t="shared" si="7"/>
        <v>0.2321469698</v>
      </c>
      <c r="S48" s="29">
        <f t="shared" si="8"/>
        <v>0.2025478734</v>
      </c>
      <c r="T48" s="29">
        <f t="shared" si="9"/>
        <v>0.4077177532</v>
      </c>
      <c r="U48" s="29">
        <f t="shared" si="10"/>
        <v>0.7994118492</v>
      </c>
      <c r="V48" s="87"/>
      <c r="W48" s="39" t="s">
        <v>665</v>
      </c>
      <c r="X48" s="29">
        <f t="shared" si="11"/>
        <v>1.132682579</v>
      </c>
      <c r="Y48" s="73">
        <f t="shared" si="12"/>
        <v>0.6712349787</v>
      </c>
      <c r="Z48" s="68"/>
      <c r="AA48" s="39" t="s">
        <v>666</v>
      </c>
      <c r="AB48" s="74">
        <f t="shared" si="13"/>
        <v>0.3720984786</v>
      </c>
      <c r="AC48" s="57"/>
      <c r="AD48" s="68"/>
      <c r="AE48" s="68"/>
      <c r="AF48" s="68"/>
      <c r="AG48" s="68"/>
      <c r="AH48" s="68"/>
      <c r="AI48" s="68"/>
    </row>
    <row r="49">
      <c r="B49" s="39" t="s">
        <v>667</v>
      </c>
      <c r="C49" s="29">
        <f>IFS('data clean'!C50&lt;=1, 1, 'data clean'!C50&lt;=25, 2, 'data clean'!C50&lt;=50, 3, 'data clean'!C50&lt;=75, 4, TRUE, 5)</f>
        <v>2</v>
      </c>
      <c r="D49" s="29">
        <f>IFS('data clean'!D50&lt;=1, 1, 'data clean'!D50&lt;=25, 2, 'data clean'!D50&lt;=50, 3, 'data clean'!D50&lt;=75, 4, TRUE, 5)</f>
        <v>2</v>
      </c>
      <c r="E49" s="29">
        <f>IFS('data clean'!E50&lt;=1, 1, 'data clean'!E50&lt;=25, 2, 'data clean'!E50&lt;=50, 3, 'data clean'!E50&lt;=75, 4, TRUE, 5)</f>
        <v>2</v>
      </c>
      <c r="F49" s="29">
        <f>IFS('data clean'!F50&lt;=1, 1, 'data clean'!F50&lt;=3, 2, 'data clean'!F50&lt;=5, 3, 'data clean'!F50&lt;=7, 4, TRUE, 5)</f>
        <v>4</v>
      </c>
      <c r="G49" s="29">
        <f>IFS('data clean'!G50&lt;=100, 5, 'data clean'!G50&lt;=200, 4, 'data clean'!G50&lt;=350, 3, 'data clean'!G50&lt;=500, 2, TRUE, 1)</f>
        <v>5</v>
      </c>
      <c r="I49" s="39" t="s">
        <v>668</v>
      </c>
      <c r="J49" s="29">
        <f t="shared" si="1"/>
        <v>0.1439631501</v>
      </c>
      <c r="K49" s="29">
        <f t="shared" si="2"/>
        <v>0.1547646465</v>
      </c>
      <c r="L49" s="29">
        <f t="shared" si="3"/>
        <v>0.1012739367</v>
      </c>
      <c r="M49" s="29">
        <f t="shared" si="4"/>
        <v>0.2038588766</v>
      </c>
      <c r="N49" s="29">
        <f t="shared" si="5"/>
        <v>0.1598823698</v>
      </c>
      <c r="P49" s="39" t="s">
        <v>669</v>
      </c>
      <c r="Q49" s="29">
        <f t="shared" si="6"/>
        <v>0.5758526006</v>
      </c>
      <c r="R49" s="29">
        <f t="shared" si="7"/>
        <v>0.4642939395</v>
      </c>
      <c r="S49" s="29">
        <f t="shared" si="8"/>
        <v>0.2025478734</v>
      </c>
      <c r="T49" s="29">
        <f t="shared" si="9"/>
        <v>0.8154355063</v>
      </c>
      <c r="U49" s="29">
        <f t="shared" si="10"/>
        <v>0.7994118492</v>
      </c>
      <c r="V49" s="87"/>
      <c r="W49" s="39" t="s">
        <v>670</v>
      </c>
      <c r="X49" s="29">
        <f t="shared" si="11"/>
        <v>0.6575230418</v>
      </c>
      <c r="Y49" s="73">
        <f t="shared" si="12"/>
        <v>0.959071269</v>
      </c>
      <c r="Z49" s="68"/>
      <c r="AA49" s="39" t="s">
        <v>671</v>
      </c>
      <c r="AB49" s="74">
        <f t="shared" si="13"/>
        <v>0.5932665125</v>
      </c>
      <c r="AC49" s="57"/>
      <c r="AD49" s="68"/>
      <c r="AE49" s="68"/>
      <c r="AF49" s="68"/>
      <c r="AG49" s="68"/>
      <c r="AH49" s="68"/>
      <c r="AI49" s="68"/>
    </row>
    <row r="50">
      <c r="B50" s="39" t="s">
        <v>672</v>
      </c>
      <c r="C50" s="29">
        <f>IFS('data clean'!C51&lt;=1, 1, 'data clean'!C51&lt;=25, 2, 'data clean'!C51&lt;=50, 3, 'data clean'!C51&lt;=75, 4, TRUE, 5)</f>
        <v>2</v>
      </c>
      <c r="D50" s="29">
        <f>IFS('data clean'!D51&lt;=1, 1, 'data clean'!D51&lt;=25, 2, 'data clean'!D51&lt;=50, 3, 'data clean'!D51&lt;=75, 4, TRUE, 5)</f>
        <v>2</v>
      </c>
      <c r="E50" s="29">
        <f>IFS('data clean'!E51&lt;=1, 1, 'data clean'!E51&lt;=25, 2, 'data clean'!E51&lt;=50, 3, 'data clean'!E51&lt;=75, 4, TRUE, 5)</f>
        <v>2</v>
      </c>
      <c r="F50" s="29">
        <f>IFS('data clean'!F51&lt;=1, 1, 'data clean'!F51&lt;=3, 2, 'data clean'!F51&lt;=5, 3, 'data clean'!F51&lt;=7, 4, TRUE, 5)</f>
        <v>3</v>
      </c>
      <c r="G50" s="29">
        <f>IFS('data clean'!G51&lt;=100, 5, 'data clean'!G51&lt;=200, 4, 'data clean'!G51&lt;=350, 3, 'data clean'!G51&lt;=500, 2, TRUE, 1)</f>
        <v>5</v>
      </c>
      <c r="I50" s="39" t="s">
        <v>673</v>
      </c>
      <c r="J50" s="29">
        <f t="shared" si="1"/>
        <v>0.1439631501</v>
      </c>
      <c r="K50" s="29">
        <f t="shared" si="2"/>
        <v>0.1547646465</v>
      </c>
      <c r="L50" s="29">
        <f t="shared" si="3"/>
        <v>0.1012739367</v>
      </c>
      <c r="M50" s="29">
        <f t="shared" si="4"/>
        <v>0.1528941574</v>
      </c>
      <c r="N50" s="29">
        <f t="shared" si="5"/>
        <v>0.1598823698</v>
      </c>
      <c r="P50" s="39" t="s">
        <v>674</v>
      </c>
      <c r="Q50" s="29">
        <f t="shared" si="6"/>
        <v>0.5758526006</v>
      </c>
      <c r="R50" s="29">
        <f t="shared" si="7"/>
        <v>0.4642939395</v>
      </c>
      <c r="S50" s="29">
        <f t="shared" si="8"/>
        <v>0.2025478734</v>
      </c>
      <c r="T50" s="29">
        <f t="shared" si="9"/>
        <v>0.6115766297</v>
      </c>
      <c r="U50" s="29">
        <f t="shared" si="10"/>
        <v>0.7994118492</v>
      </c>
      <c r="V50" s="87"/>
      <c r="W50" s="39" t="s">
        <v>675</v>
      </c>
      <c r="X50" s="29">
        <f t="shared" si="11"/>
        <v>0.746332282</v>
      </c>
      <c r="Y50" s="73">
        <f t="shared" si="12"/>
        <v>0.8438160292</v>
      </c>
      <c r="Z50" s="68"/>
      <c r="AA50" s="39" t="s">
        <v>676</v>
      </c>
      <c r="AB50" s="74">
        <f t="shared" si="13"/>
        <v>0.5306524072</v>
      </c>
      <c r="AC50" s="57"/>
      <c r="AD50" s="68"/>
      <c r="AE50" s="68"/>
      <c r="AF50" s="68"/>
      <c r="AG50" s="68"/>
      <c r="AH50" s="68"/>
      <c r="AI50" s="68"/>
    </row>
    <row r="51">
      <c r="B51" s="38" t="s">
        <v>677</v>
      </c>
      <c r="C51" s="29">
        <f>IFS('data clean'!C52&lt;=1, 1, 'data clean'!C52&lt;=25, 2, 'data clean'!C52&lt;=50, 3, 'data clean'!C52&lt;=75, 4, TRUE, 5)</f>
        <v>2</v>
      </c>
      <c r="D51" s="29">
        <f>IFS('data clean'!D52&lt;=1, 1, 'data clean'!D52&lt;=25, 2, 'data clean'!D52&lt;=50, 3, 'data clean'!D52&lt;=75, 4, TRUE, 5)</f>
        <v>1</v>
      </c>
      <c r="E51" s="29">
        <f>IFS('data clean'!E52&lt;=1, 1, 'data clean'!E52&lt;=25, 2, 'data clean'!E52&lt;=50, 3, 'data clean'!E52&lt;=75, 4, TRUE, 5)</f>
        <v>2</v>
      </c>
      <c r="F51" s="29">
        <f>IFS('data clean'!F52&lt;=1, 1, 'data clean'!F52&lt;=3, 2, 'data clean'!F52&lt;=5, 3, 'data clean'!F52&lt;=7, 4, TRUE, 5)</f>
        <v>4</v>
      </c>
      <c r="G51" s="29">
        <f>IFS('data clean'!G52&lt;=100, 5, 'data clean'!G52&lt;=200, 4, 'data clean'!G52&lt;=350, 3, 'data clean'!G52&lt;=500, 2, TRUE, 1)</f>
        <v>5</v>
      </c>
      <c r="I51" s="38" t="s">
        <v>678</v>
      </c>
      <c r="J51" s="29">
        <f t="shared" si="1"/>
        <v>0.1439631501</v>
      </c>
      <c r="K51" s="29">
        <f t="shared" si="2"/>
        <v>0.07738232325</v>
      </c>
      <c r="L51" s="29">
        <f t="shared" si="3"/>
        <v>0.1012739367</v>
      </c>
      <c r="M51" s="29">
        <f t="shared" si="4"/>
        <v>0.2038588766</v>
      </c>
      <c r="N51" s="29">
        <f t="shared" si="5"/>
        <v>0.1598823698</v>
      </c>
      <c r="P51" s="38" t="s">
        <v>679</v>
      </c>
      <c r="Q51" s="29">
        <f t="shared" si="6"/>
        <v>0.5758526006</v>
      </c>
      <c r="R51" s="29">
        <f t="shared" si="7"/>
        <v>0.2321469698</v>
      </c>
      <c r="S51" s="29">
        <f t="shared" si="8"/>
        <v>0.2025478734</v>
      </c>
      <c r="T51" s="29">
        <f t="shared" si="9"/>
        <v>0.8154355063</v>
      </c>
      <c r="U51" s="29">
        <f t="shared" si="10"/>
        <v>0.7994118492</v>
      </c>
      <c r="V51" s="87"/>
      <c r="W51" s="38" t="s">
        <v>680</v>
      </c>
      <c r="X51" s="29">
        <f t="shared" si="11"/>
        <v>0.8377336262</v>
      </c>
      <c r="Y51" s="73">
        <f t="shared" si="12"/>
        <v>0.9305511719</v>
      </c>
      <c r="Z51" s="68"/>
      <c r="AA51" s="38" t="s">
        <v>681</v>
      </c>
      <c r="AB51" s="74">
        <f t="shared" si="13"/>
        <v>0.5262450782</v>
      </c>
      <c r="AC51" s="57"/>
      <c r="AD51" s="68"/>
      <c r="AE51" s="68"/>
      <c r="AF51" s="68"/>
      <c r="AG51" s="68"/>
      <c r="AH51" s="68"/>
      <c r="AI51" s="68"/>
    </row>
    <row r="52">
      <c r="B52" s="39" t="s">
        <v>682</v>
      </c>
      <c r="C52" s="29">
        <f>IFS('data clean'!C53&lt;=1, 1, 'data clean'!C53&lt;=25, 2, 'data clean'!C53&lt;=50, 3, 'data clean'!C53&lt;=75, 4, TRUE, 5)</f>
        <v>1</v>
      </c>
      <c r="D52" s="29">
        <f>IFS('data clean'!D53&lt;=1, 1, 'data clean'!D53&lt;=25, 2, 'data clean'!D53&lt;=50, 3, 'data clean'!D53&lt;=75, 4, TRUE, 5)</f>
        <v>1</v>
      </c>
      <c r="E52" s="29">
        <f>IFS('data clean'!E53&lt;=1, 1, 'data clean'!E53&lt;=25, 2, 'data clean'!E53&lt;=50, 3, 'data clean'!E53&lt;=75, 4, TRUE, 5)</f>
        <v>2</v>
      </c>
      <c r="F52" s="29">
        <f>IFS('data clean'!F53&lt;=1, 1, 'data clean'!F53&lt;=3, 2, 'data clean'!F53&lt;=5, 3, 'data clean'!F53&lt;=7, 4, TRUE, 5)</f>
        <v>2</v>
      </c>
      <c r="G52" s="29">
        <f>IFS('data clean'!G53&lt;=100, 5, 'data clean'!G53&lt;=200, 4, 'data clean'!G53&lt;=350, 3, 'data clean'!G53&lt;=500, 2, TRUE, 1)</f>
        <v>5</v>
      </c>
      <c r="I52" s="39" t="s">
        <v>683</v>
      </c>
      <c r="J52" s="29">
        <f t="shared" si="1"/>
        <v>0.07198157507</v>
      </c>
      <c r="K52" s="29">
        <f t="shared" si="2"/>
        <v>0.07738232325</v>
      </c>
      <c r="L52" s="29">
        <f t="shared" si="3"/>
        <v>0.1012739367</v>
      </c>
      <c r="M52" s="29">
        <f t="shared" si="4"/>
        <v>0.1019294383</v>
      </c>
      <c r="N52" s="29">
        <f t="shared" si="5"/>
        <v>0.1598823698</v>
      </c>
      <c r="P52" s="39" t="s">
        <v>684</v>
      </c>
      <c r="Q52" s="29">
        <f t="shared" si="6"/>
        <v>0.2879263003</v>
      </c>
      <c r="R52" s="29">
        <f t="shared" si="7"/>
        <v>0.2321469698</v>
      </c>
      <c r="S52" s="29">
        <f t="shared" si="8"/>
        <v>0.2025478734</v>
      </c>
      <c r="T52" s="29">
        <f t="shared" si="9"/>
        <v>0.4077177532</v>
      </c>
      <c r="U52" s="29">
        <f t="shared" si="10"/>
        <v>0.7994118492</v>
      </c>
      <c r="V52" s="87"/>
      <c r="W52" s="39" t="s">
        <v>685</v>
      </c>
      <c r="X52" s="29">
        <f t="shared" si="11"/>
        <v>1.132682579</v>
      </c>
      <c r="Y52" s="73">
        <f t="shared" si="12"/>
        <v>0.6712349787</v>
      </c>
      <c r="Z52" s="68"/>
      <c r="AA52" s="39" t="s">
        <v>686</v>
      </c>
      <c r="AB52" s="74">
        <f t="shared" si="13"/>
        <v>0.3720984786</v>
      </c>
      <c r="AC52" s="57"/>
      <c r="AD52" s="68"/>
      <c r="AE52" s="68"/>
      <c r="AF52" s="68"/>
      <c r="AG52" s="68"/>
      <c r="AH52" s="68"/>
      <c r="AI52" s="68"/>
    </row>
    <row r="53">
      <c r="B53" s="39" t="s">
        <v>687</v>
      </c>
      <c r="C53" s="29">
        <f>IFS('data clean'!C54&lt;=1, 1, 'data clean'!C54&lt;=25, 2, 'data clean'!C54&lt;=50, 3, 'data clean'!C54&lt;=75, 4, TRUE, 5)</f>
        <v>1</v>
      </c>
      <c r="D53" s="29">
        <f>IFS('data clean'!D54&lt;=1, 1, 'data clean'!D54&lt;=25, 2, 'data clean'!D54&lt;=50, 3, 'data clean'!D54&lt;=75, 4, TRUE, 5)</f>
        <v>1</v>
      </c>
      <c r="E53" s="29">
        <f>IFS('data clean'!E54&lt;=1, 1, 'data clean'!E54&lt;=25, 2, 'data clean'!E54&lt;=50, 3, 'data clean'!E54&lt;=75, 4, TRUE, 5)</f>
        <v>2</v>
      </c>
      <c r="F53" s="29">
        <f>IFS('data clean'!F54&lt;=1, 1, 'data clean'!F54&lt;=3, 2, 'data clean'!F54&lt;=5, 3, 'data clean'!F54&lt;=7, 4, TRUE, 5)</f>
        <v>3</v>
      </c>
      <c r="G53" s="29">
        <f>IFS('data clean'!G54&lt;=100, 5, 'data clean'!G54&lt;=200, 4, 'data clean'!G54&lt;=350, 3, 'data clean'!G54&lt;=500, 2, TRUE, 1)</f>
        <v>5</v>
      </c>
      <c r="I53" s="39" t="s">
        <v>688</v>
      </c>
      <c r="J53" s="29">
        <f t="shared" si="1"/>
        <v>0.07198157507</v>
      </c>
      <c r="K53" s="29">
        <f t="shared" si="2"/>
        <v>0.07738232325</v>
      </c>
      <c r="L53" s="29">
        <f t="shared" si="3"/>
        <v>0.1012739367</v>
      </c>
      <c r="M53" s="29">
        <f t="shared" si="4"/>
        <v>0.1528941574</v>
      </c>
      <c r="N53" s="29">
        <f t="shared" si="5"/>
        <v>0.1598823698</v>
      </c>
      <c r="P53" s="39" t="s">
        <v>689</v>
      </c>
      <c r="Q53" s="29">
        <f t="shared" si="6"/>
        <v>0.2879263003</v>
      </c>
      <c r="R53" s="29">
        <f t="shared" si="7"/>
        <v>0.2321469698</v>
      </c>
      <c r="S53" s="29">
        <f t="shared" si="8"/>
        <v>0.2025478734</v>
      </c>
      <c r="T53" s="29">
        <f t="shared" si="9"/>
        <v>0.6115766297</v>
      </c>
      <c r="U53" s="29">
        <f t="shared" si="10"/>
        <v>0.7994118492</v>
      </c>
      <c r="V53" s="87"/>
      <c r="W53" s="39" t="s">
        <v>690</v>
      </c>
      <c r="X53" s="29">
        <f t="shared" si="11"/>
        <v>1.036907718</v>
      </c>
      <c r="Y53" s="73">
        <f t="shared" si="12"/>
        <v>0.7584403215</v>
      </c>
      <c r="Z53" s="68"/>
      <c r="AA53" s="39" t="s">
        <v>691</v>
      </c>
      <c r="AB53" s="74">
        <f t="shared" si="13"/>
        <v>0.422447517</v>
      </c>
      <c r="AC53" s="57"/>
      <c r="AD53" s="68"/>
      <c r="AE53" s="68"/>
      <c r="AF53" s="68"/>
      <c r="AG53" s="68"/>
      <c r="AH53" s="68"/>
      <c r="AI53" s="68"/>
    </row>
    <row r="54">
      <c r="B54" s="38" t="s">
        <v>692</v>
      </c>
      <c r="C54" s="29">
        <f>IFS('data clean'!C55&lt;=1, 1, 'data clean'!C55&lt;=25, 2, 'data clean'!C55&lt;=50, 3, 'data clean'!C55&lt;=75, 4, TRUE, 5)</f>
        <v>2</v>
      </c>
      <c r="D54" s="29">
        <f>IFS('data clean'!D55&lt;=1, 1, 'data clean'!D55&lt;=25, 2, 'data clean'!D55&lt;=50, 3, 'data clean'!D55&lt;=75, 4, TRUE, 5)</f>
        <v>1</v>
      </c>
      <c r="E54" s="29">
        <f>IFS('data clean'!E55&lt;=1, 1, 'data clean'!E55&lt;=25, 2, 'data clean'!E55&lt;=50, 3, 'data clean'!E55&lt;=75, 4, TRUE, 5)</f>
        <v>2</v>
      </c>
      <c r="F54" s="29">
        <f>IFS('data clean'!F55&lt;=1, 1, 'data clean'!F55&lt;=3, 2, 'data clean'!F55&lt;=5, 3, 'data clean'!F55&lt;=7, 4, TRUE, 5)</f>
        <v>2</v>
      </c>
      <c r="G54" s="29">
        <f>IFS('data clean'!G55&lt;=100, 5, 'data clean'!G55&lt;=200, 4, 'data clean'!G55&lt;=350, 3, 'data clean'!G55&lt;=500, 2, TRUE, 1)</f>
        <v>5</v>
      </c>
      <c r="I54" s="38" t="s">
        <v>693</v>
      </c>
      <c r="J54" s="29">
        <f t="shared" si="1"/>
        <v>0.1439631501</v>
      </c>
      <c r="K54" s="29">
        <f t="shared" si="2"/>
        <v>0.07738232325</v>
      </c>
      <c r="L54" s="29">
        <f t="shared" si="3"/>
        <v>0.1012739367</v>
      </c>
      <c r="M54" s="29">
        <f t="shared" si="4"/>
        <v>0.1019294383</v>
      </c>
      <c r="N54" s="29">
        <f t="shared" si="5"/>
        <v>0.1598823698</v>
      </c>
      <c r="P54" s="38" t="s">
        <v>694</v>
      </c>
      <c r="Q54" s="29">
        <f t="shared" si="6"/>
        <v>0.5758526006</v>
      </c>
      <c r="R54" s="29">
        <f t="shared" si="7"/>
        <v>0.2321469698</v>
      </c>
      <c r="S54" s="29">
        <f t="shared" si="8"/>
        <v>0.2025478734</v>
      </c>
      <c r="T54" s="29">
        <f t="shared" si="9"/>
        <v>0.4077177532</v>
      </c>
      <c r="U54" s="29">
        <f t="shared" si="10"/>
        <v>0.7994118492</v>
      </c>
      <c r="V54" s="87"/>
      <c r="W54" s="38" t="s">
        <v>695</v>
      </c>
      <c r="X54" s="29">
        <f t="shared" si="11"/>
        <v>1.01698828</v>
      </c>
      <c r="Y54" s="73">
        <f t="shared" si="12"/>
        <v>0.7303820582</v>
      </c>
      <c r="Z54" s="68"/>
      <c r="AA54" s="38" t="s">
        <v>696</v>
      </c>
      <c r="AB54" s="74">
        <f t="shared" si="13"/>
        <v>0.4179892736</v>
      </c>
      <c r="AC54" s="57"/>
      <c r="AD54" s="68"/>
      <c r="AE54" s="68"/>
      <c r="AF54" s="68"/>
      <c r="AG54" s="68"/>
      <c r="AH54" s="68"/>
      <c r="AI54" s="68"/>
    </row>
    <row r="55">
      <c r="B55" s="39" t="s">
        <v>697</v>
      </c>
      <c r="C55" s="29">
        <f>IFS('data clean'!C56&lt;=1, 1, 'data clean'!C56&lt;=25, 2, 'data clean'!C56&lt;=50, 3, 'data clean'!C56&lt;=75, 4, TRUE, 5)</f>
        <v>1</v>
      </c>
      <c r="D55" s="29">
        <f>IFS('data clean'!D56&lt;=1, 1, 'data clean'!D56&lt;=25, 2, 'data clean'!D56&lt;=50, 3, 'data clean'!D56&lt;=75, 4, TRUE, 5)</f>
        <v>1</v>
      </c>
      <c r="E55" s="29">
        <f>IFS('data clean'!E56&lt;=1, 1, 'data clean'!E56&lt;=25, 2, 'data clean'!E56&lt;=50, 3, 'data clean'!E56&lt;=75, 4, TRUE, 5)</f>
        <v>2</v>
      </c>
      <c r="F55" s="29">
        <f>IFS('data clean'!F56&lt;=1, 1, 'data clean'!F56&lt;=3, 2, 'data clean'!F56&lt;=5, 3, 'data clean'!F56&lt;=7, 4, TRUE, 5)</f>
        <v>2</v>
      </c>
      <c r="G55" s="29">
        <f>IFS('data clean'!G56&lt;=100, 5, 'data clean'!G56&lt;=200, 4, 'data clean'!G56&lt;=350, 3, 'data clean'!G56&lt;=500, 2, TRUE, 1)</f>
        <v>5</v>
      </c>
      <c r="I55" s="39" t="s">
        <v>698</v>
      </c>
      <c r="J55" s="29">
        <f t="shared" si="1"/>
        <v>0.07198157507</v>
      </c>
      <c r="K55" s="29">
        <f t="shared" si="2"/>
        <v>0.07738232325</v>
      </c>
      <c r="L55" s="29">
        <f t="shared" si="3"/>
        <v>0.1012739367</v>
      </c>
      <c r="M55" s="29">
        <f t="shared" si="4"/>
        <v>0.1019294383</v>
      </c>
      <c r="N55" s="29">
        <f t="shared" si="5"/>
        <v>0.1598823698</v>
      </c>
      <c r="P55" s="39" t="s">
        <v>699</v>
      </c>
      <c r="Q55" s="29">
        <f t="shared" si="6"/>
        <v>0.2879263003</v>
      </c>
      <c r="R55" s="29">
        <f t="shared" si="7"/>
        <v>0.2321469698</v>
      </c>
      <c r="S55" s="29">
        <f t="shared" si="8"/>
        <v>0.2025478734</v>
      </c>
      <c r="T55" s="29">
        <f t="shared" si="9"/>
        <v>0.4077177532</v>
      </c>
      <c r="U55" s="29">
        <f t="shared" si="10"/>
        <v>0.7994118492</v>
      </c>
      <c r="V55" s="87"/>
      <c r="W55" s="39" t="s">
        <v>700</v>
      </c>
      <c r="X55" s="29">
        <f t="shared" si="11"/>
        <v>1.132682579</v>
      </c>
      <c r="Y55" s="73">
        <f t="shared" si="12"/>
        <v>0.6712349787</v>
      </c>
      <c r="Z55" s="68"/>
      <c r="AA55" s="39" t="s">
        <v>701</v>
      </c>
      <c r="AB55" s="74">
        <f t="shared" si="13"/>
        <v>0.3720984786</v>
      </c>
      <c r="AC55" s="57"/>
      <c r="AD55" s="68"/>
      <c r="AE55" s="68"/>
      <c r="AF55" s="68"/>
      <c r="AG55" s="68"/>
      <c r="AH55" s="68"/>
      <c r="AI55" s="68"/>
    </row>
    <row r="56">
      <c r="B56" s="39" t="s">
        <v>702</v>
      </c>
      <c r="C56" s="29">
        <f>IFS('data clean'!C57&lt;=1, 1, 'data clean'!C57&lt;=25, 2, 'data clean'!C57&lt;=50, 3, 'data clean'!C57&lt;=75, 4, TRUE, 5)</f>
        <v>2</v>
      </c>
      <c r="D56" s="29">
        <f>IFS('data clean'!D57&lt;=1, 1, 'data clean'!D57&lt;=25, 2, 'data clean'!D57&lt;=50, 3, 'data clean'!D57&lt;=75, 4, TRUE, 5)</f>
        <v>1</v>
      </c>
      <c r="E56" s="29">
        <f>IFS('data clean'!E57&lt;=1, 1, 'data clean'!E57&lt;=25, 2, 'data clean'!E57&lt;=50, 3, 'data clean'!E57&lt;=75, 4, TRUE, 5)</f>
        <v>2</v>
      </c>
      <c r="F56" s="29">
        <f>IFS('data clean'!F57&lt;=1, 1, 'data clean'!F57&lt;=3, 2, 'data clean'!F57&lt;=5, 3, 'data clean'!F57&lt;=7, 4, TRUE, 5)</f>
        <v>3</v>
      </c>
      <c r="G56" s="29">
        <f>IFS('data clean'!G57&lt;=100, 5, 'data clean'!G57&lt;=200, 4, 'data clean'!G57&lt;=350, 3, 'data clean'!G57&lt;=500, 2, TRUE, 1)</f>
        <v>3</v>
      </c>
      <c r="I56" s="39" t="s">
        <v>703</v>
      </c>
      <c r="J56" s="29">
        <f t="shared" si="1"/>
        <v>0.1439631501</v>
      </c>
      <c r="K56" s="29">
        <f t="shared" si="2"/>
        <v>0.07738232325</v>
      </c>
      <c r="L56" s="29">
        <f t="shared" si="3"/>
        <v>0.1012739367</v>
      </c>
      <c r="M56" s="29">
        <f t="shared" si="4"/>
        <v>0.1528941574</v>
      </c>
      <c r="N56" s="29">
        <f t="shared" si="5"/>
        <v>0.09592942191</v>
      </c>
      <c r="P56" s="39" t="s">
        <v>704</v>
      </c>
      <c r="Q56" s="29">
        <f t="shared" si="6"/>
        <v>0.5758526006</v>
      </c>
      <c r="R56" s="29">
        <f t="shared" si="7"/>
        <v>0.2321469698</v>
      </c>
      <c r="S56" s="29">
        <f t="shared" si="8"/>
        <v>0.2025478734</v>
      </c>
      <c r="T56" s="29">
        <f t="shared" si="9"/>
        <v>0.6115766297</v>
      </c>
      <c r="U56" s="29">
        <f t="shared" si="10"/>
        <v>0.4796471095</v>
      </c>
      <c r="V56" s="87"/>
      <c r="W56" s="39" t="s">
        <v>705</v>
      </c>
      <c r="X56" s="29">
        <f t="shared" si="11"/>
        <v>0.9637024654</v>
      </c>
      <c r="Y56" s="73">
        <f t="shared" si="12"/>
        <v>0.5927772005</v>
      </c>
      <c r="Z56" s="68"/>
      <c r="AA56" s="39" t="s">
        <v>706</v>
      </c>
      <c r="AB56" s="74">
        <f t="shared" si="13"/>
        <v>0.3808448086</v>
      </c>
      <c r="AC56" s="57"/>
      <c r="AD56" s="68"/>
      <c r="AE56" s="68"/>
      <c r="AF56" s="68"/>
      <c r="AG56" s="68"/>
      <c r="AH56" s="68"/>
      <c r="AI56" s="68"/>
    </row>
    <row r="57">
      <c r="B57" s="39" t="s">
        <v>707</v>
      </c>
      <c r="C57" s="29">
        <f>IFS('data clean'!C58&lt;=1, 1, 'data clean'!C58&lt;=25, 2, 'data clean'!C58&lt;=50, 3, 'data clean'!C58&lt;=75, 4, TRUE, 5)</f>
        <v>2</v>
      </c>
      <c r="D57" s="29">
        <f>IFS('data clean'!D58&lt;=1, 1, 'data clean'!D58&lt;=25, 2, 'data clean'!D58&lt;=50, 3, 'data clean'!D58&lt;=75, 4, TRUE, 5)</f>
        <v>1</v>
      </c>
      <c r="E57" s="29">
        <f>IFS('data clean'!E58&lt;=1, 1, 'data clean'!E58&lt;=25, 2, 'data clean'!E58&lt;=50, 3, 'data clean'!E58&lt;=75, 4, TRUE, 5)</f>
        <v>2</v>
      </c>
      <c r="F57" s="29">
        <f>IFS('data clean'!F58&lt;=1, 1, 'data clean'!F58&lt;=3, 2, 'data clean'!F58&lt;=5, 3, 'data clean'!F58&lt;=7, 4, TRUE, 5)</f>
        <v>3</v>
      </c>
      <c r="G57" s="29">
        <f>IFS('data clean'!G58&lt;=100, 5, 'data clean'!G58&lt;=200, 4, 'data clean'!G58&lt;=350, 3, 'data clean'!G58&lt;=500, 2, TRUE, 1)</f>
        <v>5</v>
      </c>
      <c r="I57" s="39" t="s">
        <v>708</v>
      </c>
      <c r="J57" s="29">
        <f t="shared" si="1"/>
        <v>0.1439631501</v>
      </c>
      <c r="K57" s="29">
        <f t="shared" si="2"/>
        <v>0.07738232325</v>
      </c>
      <c r="L57" s="29">
        <f t="shared" si="3"/>
        <v>0.1012739367</v>
      </c>
      <c r="M57" s="29">
        <f t="shared" si="4"/>
        <v>0.1528941574</v>
      </c>
      <c r="N57" s="29">
        <f t="shared" si="5"/>
        <v>0.1598823698</v>
      </c>
      <c r="P57" s="39" t="s">
        <v>709</v>
      </c>
      <c r="Q57" s="29">
        <f t="shared" si="6"/>
        <v>0.5758526006</v>
      </c>
      <c r="R57" s="29">
        <f t="shared" si="7"/>
        <v>0.2321469698</v>
      </c>
      <c r="S57" s="29">
        <f t="shared" si="8"/>
        <v>0.2025478734</v>
      </c>
      <c r="T57" s="29">
        <f t="shared" si="9"/>
        <v>0.6115766297</v>
      </c>
      <c r="U57" s="29">
        <f t="shared" si="10"/>
        <v>0.7994118492</v>
      </c>
      <c r="V57" s="87"/>
      <c r="W57" s="39" t="s">
        <v>710</v>
      </c>
      <c r="X57" s="29">
        <f t="shared" si="11"/>
        <v>0.9091055786</v>
      </c>
      <c r="Y57" s="73">
        <f t="shared" si="12"/>
        <v>0.8112541375</v>
      </c>
      <c r="Z57" s="68"/>
      <c r="AA57" s="39" t="s">
        <v>711</v>
      </c>
      <c r="AB57" s="74">
        <f t="shared" si="13"/>
        <v>0.4715607613</v>
      </c>
      <c r="AC57" s="57"/>
      <c r="AD57" s="68"/>
      <c r="AE57" s="68"/>
      <c r="AF57" s="68"/>
      <c r="AG57" s="68"/>
      <c r="AH57" s="68"/>
      <c r="AI57" s="68"/>
    </row>
    <row r="58">
      <c r="B58" s="11"/>
      <c r="C58" s="87"/>
      <c r="D58" s="87"/>
      <c r="E58" s="87"/>
      <c r="F58" s="87"/>
      <c r="G58" s="87"/>
      <c r="I58" s="11"/>
      <c r="J58" s="87"/>
      <c r="K58" s="87"/>
      <c r="L58" s="87"/>
      <c r="M58" s="87"/>
      <c r="N58" s="87"/>
      <c r="P58" s="11"/>
      <c r="Q58" s="87"/>
      <c r="R58" s="87"/>
      <c r="S58" s="87"/>
      <c r="T58" s="87"/>
      <c r="U58" s="87"/>
      <c r="V58" s="87"/>
      <c r="W58" s="11"/>
      <c r="X58" s="87"/>
      <c r="Y58" s="87"/>
      <c r="Z58" s="68"/>
      <c r="AA58" s="89"/>
      <c r="AB58" s="72"/>
      <c r="AC58" s="57"/>
      <c r="AD58" s="68"/>
      <c r="AE58" s="68"/>
      <c r="AF58" s="68"/>
      <c r="AG58" s="68"/>
      <c r="AH58" s="68"/>
      <c r="AI58" s="68"/>
    </row>
    <row r="59">
      <c r="AC59" s="57"/>
    </row>
    <row r="60">
      <c r="B60" s="36" t="s">
        <v>307</v>
      </c>
      <c r="C60" s="82">
        <f t="shared" ref="C60:G60" si="14">SUMPRODUCT(C6:C57^2)</f>
        <v>193</v>
      </c>
      <c r="D60" s="82">
        <f t="shared" si="14"/>
        <v>167</v>
      </c>
      <c r="E60" s="82">
        <f t="shared" si="14"/>
        <v>390</v>
      </c>
      <c r="F60" s="82">
        <f t="shared" si="14"/>
        <v>385</v>
      </c>
      <c r="G60" s="82">
        <f t="shared" si="14"/>
        <v>978</v>
      </c>
      <c r="P60" s="36" t="s">
        <v>308</v>
      </c>
      <c r="Q60" s="82">
        <f t="shared" ref="Q60:U60" si="15">MAX(Q6:Q57)</f>
        <v>0.8637789009</v>
      </c>
      <c r="R60" s="82">
        <f t="shared" si="15"/>
        <v>0.928587879</v>
      </c>
      <c r="S60" s="82">
        <f t="shared" si="15"/>
        <v>0.5063696835</v>
      </c>
      <c r="T60" s="82">
        <f t="shared" si="15"/>
        <v>1.019294383</v>
      </c>
      <c r="U60" s="82">
        <f t="shared" si="15"/>
        <v>0.7994118492</v>
      </c>
    </row>
    <row r="61">
      <c r="B61" s="36" t="s">
        <v>307</v>
      </c>
      <c r="C61" s="82">
        <f t="shared" ref="C61:G61" si="16">SQRT(SUMPRODUCT(C6:C57^2))</f>
        <v>13.89244399</v>
      </c>
      <c r="D61" s="82">
        <f t="shared" si="16"/>
        <v>12.92284798</v>
      </c>
      <c r="E61" s="82">
        <f t="shared" si="16"/>
        <v>19.74841766</v>
      </c>
      <c r="F61" s="82">
        <f t="shared" si="16"/>
        <v>19.62141687</v>
      </c>
      <c r="G61" s="82">
        <f t="shared" si="16"/>
        <v>31.27299154</v>
      </c>
      <c r="P61" s="36" t="s">
        <v>309</v>
      </c>
      <c r="Q61" s="82">
        <f t="shared" ref="Q61:U61" si="17">MIN(Q6:Q57)</f>
        <v>0.2879263003</v>
      </c>
      <c r="R61" s="82">
        <f t="shared" si="17"/>
        <v>0.2321469698</v>
      </c>
      <c r="S61" s="82">
        <f t="shared" si="17"/>
        <v>0.2025478734</v>
      </c>
      <c r="T61" s="82">
        <f t="shared" si="17"/>
        <v>0.2038588766</v>
      </c>
      <c r="U61" s="82">
        <f t="shared" si="17"/>
        <v>0.1598823698</v>
      </c>
    </row>
  </sheetData>
  <mergeCells count="6">
    <mergeCell ref="B2:G3"/>
    <mergeCell ref="I2:N3"/>
    <mergeCell ref="P2:U3"/>
    <mergeCell ref="W2:Y3"/>
    <mergeCell ref="AA2:AB3"/>
    <mergeCell ref="AD6:AE6"/>
  </mergeCells>
  <hyperlinks>
    <hyperlink r:id="rId1" location="Tabel%20TKPI" ref="B4"/>
    <hyperlink r:id="rId2" location="Tabel%20TKPI" ref="C4"/>
    <hyperlink r:id="rId3" location="Tabel%20TKPI" ref="D4"/>
    <hyperlink r:id="rId4" location="Tabel%20TKPI" ref="E4"/>
    <hyperlink r:id="rId5" location="Tabel%20TKPI" ref="F4"/>
    <hyperlink r:id="rId6" location="Tabel%20TKPI" ref="G4"/>
    <hyperlink r:id="rId7" location="Tabel%20TKPI" ref="I4"/>
    <hyperlink r:id="rId8" location="Tabel%20TKPI" ref="J4"/>
    <hyperlink r:id="rId9" location="Tabel%20TKPI" ref="K4"/>
    <hyperlink r:id="rId10" location="Tabel%20TKPI" ref="L4"/>
    <hyperlink r:id="rId11" location="Tabel%20TKPI" ref="M4"/>
    <hyperlink r:id="rId12" location="Tabel%20TKPI" ref="N4"/>
    <hyperlink r:id="rId13" location="Tabel%20TKPI" ref="P4"/>
    <hyperlink r:id="rId14" location="Tabel%20TKPI" ref="Q4"/>
    <hyperlink r:id="rId15" location="Tabel%20TKPI" ref="R4"/>
    <hyperlink r:id="rId16" location="Tabel%20TKPI" ref="S4"/>
    <hyperlink r:id="rId17" location="Tabel%20TKPI" ref="T4"/>
    <hyperlink r:id="rId18" location="Tabel%20TKPI" ref="U4"/>
    <hyperlink r:id="rId19" location="Tabel%20TKPI" ref="W4"/>
    <hyperlink r:id="rId20" location="Tabel%20TKPI" ref="AA4"/>
    <hyperlink r:id="rId21" location="AndraFarm" ref="B6"/>
    <hyperlink r:id="rId22" location="AndraFarm" ref="I6"/>
    <hyperlink r:id="rId23" location="AndraFarm" ref="P6"/>
    <hyperlink r:id="rId24" location="AndraFarm" ref="W6"/>
    <hyperlink r:id="rId25" location="AndraFarm" ref="AA6"/>
    <hyperlink r:id="rId26" location="AndraFarm" ref="B7"/>
    <hyperlink r:id="rId27" location="AndraFarm" ref="I7"/>
    <hyperlink r:id="rId28" location="AndraFarm" ref="P7"/>
    <hyperlink r:id="rId29" location="AndraFarm" ref="W7"/>
    <hyperlink r:id="rId30" location="AndraFarm" ref="AA7"/>
    <hyperlink r:id="rId31" location="AndraFarm" ref="B8"/>
    <hyperlink r:id="rId32" location="AndraFarm" ref="I8"/>
    <hyperlink r:id="rId33" location="AndraFarm" ref="P8"/>
    <hyperlink r:id="rId34" location="AndraFarm" ref="W8"/>
    <hyperlink r:id="rId35" location="AndraFarm" ref="AA8"/>
    <hyperlink r:id="rId36" location="AndraFarm" ref="AD8"/>
    <hyperlink r:id="rId37" location="AndraFarm" ref="B9"/>
    <hyperlink r:id="rId38" location="AndraFarm" ref="I9"/>
    <hyperlink r:id="rId39" location="AndraFarm" ref="P9"/>
    <hyperlink r:id="rId40" location="AndraFarm" ref="W9"/>
    <hyperlink r:id="rId41" location="AndraFarm" ref="AA9"/>
    <hyperlink r:id="rId42" location="AndraFarm" ref="AD9"/>
    <hyperlink r:id="rId43" location="AndraFarm" ref="B10"/>
    <hyperlink r:id="rId44" location="AndraFarm" ref="I10"/>
    <hyperlink r:id="rId45" location="AndraFarm" ref="P10"/>
    <hyperlink r:id="rId46" location="AndraFarm" ref="W10"/>
    <hyperlink r:id="rId47" location="AndraFarm" ref="AA10"/>
    <hyperlink r:id="rId48" location="AndraFarm" ref="AD10"/>
    <hyperlink r:id="rId49" location="AndraFarm" ref="B11"/>
    <hyperlink r:id="rId50" location="AndraFarm" ref="I11"/>
    <hyperlink r:id="rId51" location="AndraFarm" ref="P11"/>
    <hyperlink r:id="rId52" location="AndraFarm" ref="W11"/>
    <hyperlink r:id="rId53" location="AndraFarm" ref="AA11"/>
    <hyperlink r:id="rId54" location="AndraFarm" ref="AD11"/>
    <hyperlink r:id="rId55" location="AndraFarm" ref="B12"/>
    <hyperlink r:id="rId56" location="AndraFarm" ref="I12"/>
    <hyperlink r:id="rId57" location="AndraFarm" ref="P12"/>
    <hyperlink r:id="rId58" location="AndraFarm" ref="W12"/>
    <hyperlink r:id="rId59" location="AndraFarm" ref="AA12"/>
    <hyperlink r:id="rId60" location="AndraFarm" ref="B13"/>
    <hyperlink r:id="rId61" location="AndraFarm" ref="I13"/>
    <hyperlink r:id="rId62" location="AndraFarm" ref="P13"/>
    <hyperlink r:id="rId63" location="AndraFarm" ref="W13"/>
    <hyperlink r:id="rId64" location="AndraFarm" ref="AA13"/>
    <hyperlink r:id="rId65" location="AndraFarm" ref="B14"/>
    <hyperlink r:id="rId66" location="AndraFarm" ref="I14"/>
    <hyperlink r:id="rId67" location="AndraFarm" ref="P14"/>
    <hyperlink r:id="rId68" location="AndraFarm" ref="W14"/>
    <hyperlink r:id="rId69" location="AndraFarm" ref="AA14"/>
    <hyperlink r:id="rId70" location="AndraFarm" ref="B15"/>
    <hyperlink r:id="rId71" location="AndraFarm" ref="I15"/>
    <hyperlink r:id="rId72" location="AndraFarm" ref="P15"/>
    <hyperlink r:id="rId73" location="AndraFarm" ref="W15"/>
    <hyperlink r:id="rId74" location="AndraFarm" ref="AA15"/>
    <hyperlink r:id="rId75" location="AndraFarm" ref="B16"/>
    <hyperlink r:id="rId76" location="AndraFarm" ref="I16"/>
    <hyperlink r:id="rId77" location="AndraFarm" ref="P16"/>
    <hyperlink r:id="rId78" location="AndraFarm" ref="W16"/>
    <hyperlink r:id="rId79" location="AndraFarm" ref="AA16"/>
    <hyperlink r:id="rId80" location="AndraFarm" ref="B17"/>
    <hyperlink r:id="rId81" location="AndraFarm" ref="I17"/>
    <hyperlink r:id="rId82" location="AndraFarm" ref="P17"/>
    <hyperlink r:id="rId83" location="AndraFarm" ref="W17"/>
    <hyperlink r:id="rId84" location="AndraFarm" ref="AA17"/>
    <hyperlink r:id="rId85" location="AndraFarm" ref="B18"/>
    <hyperlink r:id="rId86" location="AndraFarm" ref="I18"/>
    <hyperlink r:id="rId87" location="AndraFarm" ref="P18"/>
    <hyperlink r:id="rId88" location="AndraFarm" ref="W18"/>
    <hyperlink r:id="rId89" location="AndraFarm" ref="AA18"/>
    <hyperlink r:id="rId90" location="AndraFarm" ref="B19"/>
    <hyperlink r:id="rId91" location="AndraFarm" ref="I19"/>
    <hyperlink r:id="rId92" location="AndraFarm" ref="P19"/>
    <hyperlink r:id="rId93" location="AndraFarm" ref="W19"/>
    <hyperlink r:id="rId94" location="AndraFarm" ref="AA19"/>
    <hyperlink r:id="rId95" location="AndraFarm" ref="B20"/>
    <hyperlink r:id="rId96" location="AndraFarm" ref="I20"/>
    <hyperlink r:id="rId97" location="AndraFarm" ref="P20"/>
    <hyperlink r:id="rId98" location="AndraFarm" ref="W20"/>
    <hyperlink r:id="rId99" location="AndraFarm" ref="AA20"/>
    <hyperlink r:id="rId100" location="AndraFarm" ref="B21"/>
    <hyperlink r:id="rId101" location="AndraFarm" ref="I21"/>
    <hyperlink r:id="rId102" location="AndraFarm" ref="P21"/>
    <hyperlink r:id="rId103" location="AndraFarm" ref="W21"/>
    <hyperlink r:id="rId104" location="AndraFarm" ref="AA21"/>
    <hyperlink r:id="rId105" location="AndraFarm" ref="B22"/>
    <hyperlink r:id="rId106" location="AndraFarm" ref="I22"/>
    <hyperlink r:id="rId107" location="AndraFarm" ref="P22"/>
    <hyperlink r:id="rId108" location="AndraFarm" ref="W22"/>
    <hyperlink r:id="rId109" location="AndraFarm" ref="AA22"/>
    <hyperlink r:id="rId110" location="AndraFarm" ref="B23"/>
    <hyperlink r:id="rId111" location="AndraFarm" ref="I23"/>
    <hyperlink r:id="rId112" location="AndraFarm" ref="P23"/>
    <hyperlink r:id="rId113" location="AndraFarm" ref="W23"/>
    <hyperlink r:id="rId114" location="AndraFarm" ref="AA23"/>
    <hyperlink r:id="rId115" location="AndraFarm" ref="B24"/>
    <hyperlink r:id="rId116" location="AndraFarm" ref="I24"/>
    <hyperlink r:id="rId117" location="AndraFarm" ref="P24"/>
    <hyperlink r:id="rId118" location="AndraFarm" ref="W24"/>
    <hyperlink r:id="rId119" location="AndraFarm" ref="AA24"/>
    <hyperlink r:id="rId120" location="AndraFarm" ref="B25"/>
    <hyperlink r:id="rId121" location="AndraFarm" ref="I25"/>
    <hyperlink r:id="rId122" location="AndraFarm" ref="P25"/>
    <hyperlink r:id="rId123" location="AndraFarm" ref="W25"/>
    <hyperlink r:id="rId124" location="AndraFarm" ref="AA25"/>
    <hyperlink r:id="rId125" location="AndraFarm" ref="B26"/>
    <hyperlink r:id="rId126" location="AndraFarm" ref="I26"/>
    <hyperlink r:id="rId127" location="AndraFarm" ref="P26"/>
    <hyperlink r:id="rId128" location="AndraFarm" ref="W26"/>
    <hyperlink r:id="rId129" location="AndraFarm" ref="AA26"/>
    <hyperlink r:id="rId130" location="AndraFarm" ref="B27"/>
    <hyperlink r:id="rId131" location="AndraFarm" ref="I27"/>
    <hyperlink r:id="rId132" location="AndraFarm" ref="P27"/>
    <hyperlink r:id="rId133" location="AndraFarm" ref="W27"/>
    <hyperlink r:id="rId134" location="AndraFarm" ref="AA27"/>
    <hyperlink r:id="rId135" location="AndraFarm" ref="B28"/>
    <hyperlink r:id="rId136" location="AndraFarm" ref="I28"/>
    <hyperlink r:id="rId137" location="AndraFarm" ref="P28"/>
    <hyperlink r:id="rId138" location="AndraFarm" ref="W28"/>
    <hyperlink r:id="rId139" location="AndraFarm" ref="AA28"/>
    <hyperlink r:id="rId140" location="AndraFarm" ref="B29"/>
    <hyperlink r:id="rId141" location="AndraFarm" ref="I29"/>
    <hyperlink r:id="rId142" location="AndraFarm" ref="P29"/>
    <hyperlink r:id="rId143" location="AndraFarm" ref="W29"/>
    <hyperlink r:id="rId144" location="AndraFarm" ref="AA29"/>
    <hyperlink r:id="rId145" location="AndraFarm" ref="B30"/>
    <hyperlink r:id="rId146" location="AndraFarm" ref="I30"/>
    <hyperlink r:id="rId147" location="AndraFarm" ref="P30"/>
    <hyperlink r:id="rId148" location="AndraFarm" ref="W30"/>
    <hyperlink r:id="rId149" location="AndraFarm" ref="AA30"/>
    <hyperlink r:id="rId150" location="AndraFarm" ref="B31"/>
    <hyperlink r:id="rId151" location="AndraFarm" ref="I31"/>
    <hyperlink r:id="rId152" location="AndraFarm" ref="P31"/>
    <hyperlink r:id="rId153" location="AndraFarm" ref="W31"/>
    <hyperlink r:id="rId154" location="AndraFarm" ref="AA31"/>
    <hyperlink r:id="rId155" location="AndraFarm" ref="B32"/>
    <hyperlink r:id="rId156" location="AndraFarm" ref="I32"/>
    <hyperlink r:id="rId157" location="AndraFarm" ref="P32"/>
    <hyperlink r:id="rId158" location="AndraFarm" ref="W32"/>
    <hyperlink r:id="rId159" location="AndraFarm" ref="AA32"/>
    <hyperlink r:id="rId160" location="AndraFarm" ref="B33"/>
    <hyperlink r:id="rId161" location="AndraFarm" ref="I33"/>
    <hyperlink r:id="rId162" location="AndraFarm" ref="P33"/>
    <hyperlink r:id="rId163" location="AndraFarm" ref="W33"/>
    <hyperlink r:id="rId164" location="AndraFarm" ref="AA33"/>
    <hyperlink r:id="rId165" location="AndraFarm" ref="B34"/>
    <hyperlink r:id="rId166" location="AndraFarm" ref="I34"/>
    <hyperlink r:id="rId167" location="AndraFarm" ref="P34"/>
    <hyperlink r:id="rId168" location="AndraFarm" ref="W34"/>
    <hyperlink r:id="rId169" location="AndraFarm" ref="AA34"/>
    <hyperlink r:id="rId170" location="AndraFarm" ref="B35"/>
    <hyperlink r:id="rId171" location="AndraFarm" ref="I35"/>
    <hyperlink r:id="rId172" location="AndraFarm" ref="P35"/>
    <hyperlink r:id="rId173" location="AndraFarm" ref="W35"/>
    <hyperlink r:id="rId174" location="AndraFarm" ref="AA35"/>
    <hyperlink r:id="rId175" location="AndraFarm" ref="B36"/>
    <hyperlink r:id="rId176" location="AndraFarm" ref="I36"/>
    <hyperlink r:id="rId177" location="AndraFarm" ref="P36"/>
    <hyperlink r:id="rId178" location="AndraFarm" ref="W36"/>
    <hyperlink r:id="rId179" location="AndraFarm" ref="AA36"/>
    <hyperlink r:id="rId180" location="AndraFarm" ref="B37"/>
    <hyperlink r:id="rId181" location="AndraFarm" ref="I37"/>
    <hyperlink r:id="rId182" location="AndraFarm" ref="P37"/>
    <hyperlink r:id="rId183" location="AndraFarm" ref="W37"/>
    <hyperlink r:id="rId184" location="AndraFarm" ref="AA37"/>
    <hyperlink r:id="rId185" location="AndraFarm" ref="B38"/>
    <hyperlink r:id="rId186" location="AndraFarm" ref="I38"/>
    <hyperlink r:id="rId187" location="AndraFarm" ref="P38"/>
    <hyperlink r:id="rId188" location="AndraFarm" ref="W38"/>
    <hyperlink r:id="rId189" location="AndraFarm" ref="AA38"/>
    <hyperlink r:id="rId190" location="AndraFarm" ref="B39"/>
    <hyperlink r:id="rId191" location="AndraFarm" ref="I39"/>
    <hyperlink r:id="rId192" location="AndraFarm" ref="P39"/>
    <hyperlink r:id="rId193" location="AndraFarm" ref="W39"/>
    <hyperlink r:id="rId194" location="AndraFarm" ref="AA39"/>
    <hyperlink r:id="rId195" location="AndraFarm" ref="B40"/>
    <hyperlink r:id="rId196" location="AndraFarm" ref="I40"/>
    <hyperlink r:id="rId197" location="AndraFarm" ref="P40"/>
    <hyperlink r:id="rId198" location="AndraFarm" ref="W40"/>
    <hyperlink r:id="rId199" location="AndraFarm" ref="AA40"/>
    <hyperlink r:id="rId200" location="AndraFarm" ref="B41"/>
    <hyperlink r:id="rId201" location="AndraFarm" ref="I41"/>
    <hyperlink r:id="rId202" location="AndraFarm" ref="P41"/>
    <hyperlink r:id="rId203" location="AndraFarm" ref="W41"/>
    <hyperlink r:id="rId204" location="AndraFarm" ref="AA41"/>
    <hyperlink r:id="rId205" location="AndraFarm" ref="B42"/>
    <hyperlink r:id="rId206" location="AndraFarm" ref="I42"/>
    <hyperlink r:id="rId207" location="AndraFarm" ref="P42"/>
    <hyperlink r:id="rId208" location="AndraFarm" ref="W42"/>
    <hyperlink r:id="rId209" location="AndraFarm" ref="AA42"/>
    <hyperlink r:id="rId210" location="AndraFarm" ref="B43"/>
    <hyperlink r:id="rId211" location="AndraFarm" ref="I43"/>
    <hyperlink r:id="rId212" location="AndraFarm" ref="P43"/>
    <hyperlink r:id="rId213" location="AndraFarm" ref="W43"/>
    <hyperlink r:id="rId214" location="AndraFarm" ref="AA43"/>
    <hyperlink r:id="rId215" location="AndraFarm" ref="B44"/>
    <hyperlink r:id="rId216" location="AndraFarm" ref="I44"/>
    <hyperlink r:id="rId217" location="AndraFarm" ref="P44"/>
    <hyperlink r:id="rId218" location="AndraFarm" ref="W44"/>
    <hyperlink r:id="rId219" location="AndraFarm" ref="AA44"/>
    <hyperlink r:id="rId220" location="AndraFarm" ref="B45"/>
    <hyperlink r:id="rId221" location="AndraFarm" ref="I45"/>
    <hyperlink r:id="rId222" location="AndraFarm" ref="P45"/>
    <hyperlink r:id="rId223" location="AndraFarm" ref="W45"/>
    <hyperlink r:id="rId224" location="AndraFarm" ref="AA45"/>
    <hyperlink r:id="rId225" location="AndraFarm" ref="B46"/>
    <hyperlink r:id="rId226" location="AndraFarm" ref="I46"/>
    <hyperlink r:id="rId227" location="AndraFarm" ref="P46"/>
    <hyperlink r:id="rId228" location="AndraFarm" ref="W46"/>
    <hyperlink r:id="rId229" location="AndraFarm" ref="AA46"/>
    <hyperlink r:id="rId230" location="AndraFarm" ref="B47"/>
    <hyperlink r:id="rId231" location="AndraFarm" ref="I47"/>
    <hyperlink r:id="rId232" location="AndraFarm" ref="P47"/>
    <hyperlink r:id="rId233" location="AndraFarm" ref="W47"/>
    <hyperlink r:id="rId234" location="AndraFarm" ref="AA47"/>
    <hyperlink r:id="rId235" location="AndraFarm" ref="B48"/>
    <hyperlink r:id="rId236" location="AndraFarm" ref="I48"/>
    <hyperlink r:id="rId237" location="AndraFarm" ref="P48"/>
    <hyperlink r:id="rId238" location="AndraFarm" ref="W48"/>
    <hyperlink r:id="rId239" location="AndraFarm" ref="AA48"/>
    <hyperlink r:id="rId240" location="AndraFarm" ref="B49"/>
    <hyperlink r:id="rId241" location="AndraFarm" ref="I49"/>
    <hyperlink r:id="rId242" location="AndraFarm" ref="P49"/>
    <hyperlink r:id="rId243" location="AndraFarm" ref="W49"/>
    <hyperlink r:id="rId244" location="AndraFarm" ref="AA49"/>
    <hyperlink r:id="rId245" location="AndraFarm" ref="B50"/>
    <hyperlink r:id="rId246" location="AndraFarm" ref="I50"/>
    <hyperlink r:id="rId247" location="AndraFarm" ref="P50"/>
    <hyperlink r:id="rId248" location="AndraFarm" ref="W50"/>
    <hyperlink r:id="rId249" location="AndraFarm" ref="AA50"/>
    <hyperlink r:id="rId250" location="AndraFarm" ref="B51"/>
    <hyperlink r:id="rId251" location="AndraFarm" ref="I51"/>
    <hyperlink r:id="rId252" location="AndraFarm" ref="P51"/>
    <hyperlink r:id="rId253" location="AndraFarm" ref="W51"/>
    <hyperlink r:id="rId254" location="AndraFarm" ref="AA51"/>
    <hyperlink r:id="rId255" location="AndraFarm" ref="B52"/>
    <hyperlink r:id="rId256" location="AndraFarm" ref="I52"/>
    <hyperlink r:id="rId257" location="AndraFarm" ref="P52"/>
    <hyperlink r:id="rId258" location="AndraFarm" ref="W52"/>
    <hyperlink r:id="rId259" location="AndraFarm" ref="AA52"/>
    <hyperlink r:id="rId260" location="AndraFarm" ref="B53"/>
    <hyperlink r:id="rId261" location="AndraFarm" ref="I53"/>
    <hyperlink r:id="rId262" location="AndraFarm" ref="P53"/>
    <hyperlink r:id="rId263" location="AndraFarm" ref="W53"/>
    <hyperlink r:id="rId264" location="AndraFarm" ref="AA53"/>
    <hyperlink r:id="rId265" location="AndraFarm" ref="B54"/>
    <hyperlink r:id="rId266" location="AndraFarm" ref="I54"/>
    <hyperlink r:id="rId267" location="AndraFarm" ref="P54"/>
    <hyperlink r:id="rId268" location="AndraFarm" ref="W54"/>
    <hyperlink r:id="rId269" location="AndraFarm" ref="AA54"/>
    <hyperlink r:id="rId270" location="AndraFarm" ref="B55"/>
    <hyperlink r:id="rId271" location="AndraFarm" ref="I55"/>
    <hyperlink r:id="rId272" location="AndraFarm" ref="P55"/>
    <hyperlink r:id="rId273" location="AndraFarm" ref="W55"/>
    <hyperlink r:id="rId274" location="AndraFarm" ref="AA55"/>
    <hyperlink r:id="rId275" location="AndraFarm" ref="B56"/>
    <hyperlink r:id="rId276" location="AndraFarm" ref="I56"/>
    <hyperlink r:id="rId277" location="AndraFarm" ref="P56"/>
    <hyperlink r:id="rId278" location="AndraFarm" ref="W56"/>
    <hyperlink r:id="rId279" location="AndraFarm" ref="AA56"/>
    <hyperlink r:id="rId280" location="AndraFarm" ref="B57"/>
    <hyperlink r:id="rId281" location="AndraFarm" ref="I57"/>
    <hyperlink r:id="rId282" location="AndraFarm" ref="P57"/>
    <hyperlink r:id="rId283" location="AndraFarm" ref="W57"/>
    <hyperlink r:id="rId284" location="AndraFarm" ref="AA57"/>
  </hyperlink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28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0" max="30" width="32.25"/>
  </cols>
  <sheetData>
    <row r="2">
      <c r="B2" s="49" t="s">
        <v>168</v>
      </c>
      <c r="I2" s="49" t="s">
        <v>440</v>
      </c>
      <c r="P2" s="49" t="s">
        <v>441</v>
      </c>
      <c r="V2" s="49"/>
      <c r="W2" s="49" t="s">
        <v>171</v>
      </c>
      <c r="Z2" s="49"/>
      <c r="AA2" s="50" t="s">
        <v>172</v>
      </c>
      <c r="AC2" s="50"/>
      <c r="AD2" s="49"/>
      <c r="AE2" s="49"/>
      <c r="AF2" s="49"/>
      <c r="AG2" s="49"/>
      <c r="AH2" s="49"/>
      <c r="AI2" s="49"/>
    </row>
    <row r="3">
      <c r="V3" s="49"/>
      <c r="Z3" s="49"/>
      <c r="AC3" s="50"/>
      <c r="AD3" s="49"/>
      <c r="AE3" s="49"/>
      <c r="AF3" s="49"/>
      <c r="AG3" s="49"/>
      <c r="AH3" s="49"/>
      <c r="AI3" s="49"/>
    </row>
    <row r="4">
      <c r="B4" s="51" t="s">
        <v>712</v>
      </c>
      <c r="C4" s="52" t="s">
        <v>2</v>
      </c>
      <c r="D4" s="53" t="s">
        <v>1</v>
      </c>
      <c r="E4" s="52" t="s">
        <v>0</v>
      </c>
      <c r="F4" s="52" t="s">
        <v>3</v>
      </c>
      <c r="G4" s="53" t="s">
        <v>4</v>
      </c>
      <c r="I4" s="51" t="s">
        <v>713</v>
      </c>
      <c r="J4" s="52" t="s">
        <v>2</v>
      </c>
      <c r="K4" s="53" t="s">
        <v>1</v>
      </c>
      <c r="L4" s="52" t="s">
        <v>0</v>
      </c>
      <c r="M4" s="52" t="s">
        <v>3</v>
      </c>
      <c r="N4" s="53" t="s">
        <v>4</v>
      </c>
      <c r="P4" s="51" t="s">
        <v>714</v>
      </c>
      <c r="Q4" s="85" t="s">
        <v>715</v>
      </c>
      <c r="R4" s="86" t="s">
        <v>716</v>
      </c>
      <c r="S4" s="85" t="s">
        <v>717</v>
      </c>
      <c r="T4" s="85" t="s">
        <v>718</v>
      </c>
      <c r="U4" s="86" t="s">
        <v>719</v>
      </c>
      <c r="V4" s="60"/>
      <c r="W4" s="51" t="s">
        <v>720</v>
      </c>
      <c r="X4" s="58" t="s">
        <v>182</v>
      </c>
      <c r="Y4" s="59" t="s">
        <v>183</v>
      </c>
      <c r="Z4" s="60"/>
      <c r="AA4" s="54" t="s">
        <v>721</v>
      </c>
      <c r="AB4" s="61" t="s">
        <v>185</v>
      </c>
      <c r="AC4" s="57"/>
      <c r="AD4" s="60"/>
      <c r="AE4" s="60"/>
      <c r="AF4" s="60"/>
      <c r="AG4" s="60"/>
      <c r="AH4" s="60"/>
      <c r="AI4" s="60"/>
    </row>
    <row r="5">
      <c r="B5" s="36"/>
      <c r="C5" s="17" t="s">
        <v>38</v>
      </c>
      <c r="D5" s="17" t="s">
        <v>38</v>
      </c>
      <c r="E5" s="17" t="s">
        <v>38</v>
      </c>
      <c r="F5" s="17" t="s">
        <v>38</v>
      </c>
      <c r="G5" s="17" t="s">
        <v>39</v>
      </c>
      <c r="I5" s="36"/>
      <c r="J5" s="17" t="s">
        <v>38</v>
      </c>
      <c r="K5" s="17" t="s">
        <v>38</v>
      </c>
      <c r="L5" s="17" t="s">
        <v>38</v>
      </c>
      <c r="M5" s="17" t="s">
        <v>38</v>
      </c>
      <c r="N5" s="17" t="s">
        <v>39</v>
      </c>
      <c r="P5" s="36"/>
      <c r="Q5" s="17" t="s">
        <v>38</v>
      </c>
      <c r="R5" s="17" t="s">
        <v>38</v>
      </c>
      <c r="S5" s="17" t="s">
        <v>38</v>
      </c>
      <c r="T5" s="66" t="s">
        <v>38</v>
      </c>
      <c r="U5" s="17" t="s">
        <v>39</v>
      </c>
      <c r="V5" s="68"/>
      <c r="X5" s="66"/>
      <c r="Y5" s="67"/>
      <c r="Z5" s="68"/>
      <c r="AA5" s="62"/>
      <c r="AB5" s="69"/>
      <c r="AC5" s="57"/>
      <c r="AD5" s="68"/>
      <c r="AE5" s="68"/>
      <c r="AF5" s="68"/>
      <c r="AG5" s="68"/>
      <c r="AH5" s="68"/>
      <c r="AI5" s="68"/>
    </row>
    <row r="6">
      <c r="B6" s="37" t="s">
        <v>722</v>
      </c>
      <c r="C6" s="29">
        <f>IFS('data clean'!C7&lt;=1, 1, 'data clean'!C7&lt;=25, 2, 'data clean'!C7&lt;=50, 3, 'data clean'!C7&lt;=75, 4, TRUE, 5)</f>
        <v>2</v>
      </c>
      <c r="D6" s="29">
        <f>IFS('data clean'!D7&lt;=1, 1, 'data clean'!D7&lt;=25, 2, 'data clean'!D7&lt;=50, 3, 'data clean'!D7&lt;=75, 4, TRUE, 5)</f>
        <v>1</v>
      </c>
      <c r="E6" s="29">
        <f>IFS('data clean'!E7&lt;=1, 1, 'data clean'!E7&lt;=25, 2, 'data clean'!E7&lt;=50, 3, 'data clean'!E7&lt;=75, 4, TRUE, 5)</f>
        <v>3</v>
      </c>
      <c r="F6" s="29">
        <f>IFS('data clean'!F7&lt;=1, 1, 'data clean'!F7&lt;=3, 2, 'data clean'!F7&lt;=5, 3, 'data clean'!F7&lt;=7, 4, TRUE, 5)</f>
        <v>1</v>
      </c>
      <c r="G6" s="29">
        <f>IFS('data clean'!G7&lt;=100, 5, 'data clean'!G7&lt;=200, 4, 'data clean'!G7&lt;=350, 3, 'data clean'!G7&lt;=500, 2, TRUE, 1)</f>
        <v>5</v>
      </c>
      <c r="I6" s="37" t="s">
        <v>723</v>
      </c>
      <c r="J6" s="29">
        <f t="shared" ref="J6:J57" si="1">C6/$C$61</f>
        <v>0.1439631501</v>
      </c>
      <c r="K6" s="29">
        <f t="shared" ref="K6:K57" si="2">D6/$D$61</f>
        <v>0.07738232325</v>
      </c>
      <c r="L6" s="29">
        <f t="shared" ref="L6:L57" si="3">E6/$E$61</f>
        <v>0.1519109051</v>
      </c>
      <c r="M6" s="29">
        <f t="shared" ref="M6:M57" si="4">F6/$F$61</f>
        <v>0.05096471914</v>
      </c>
      <c r="N6" s="29">
        <f t="shared" ref="N6:N57" si="5">G6/$G$61</f>
        <v>0.1598823698</v>
      </c>
      <c r="P6" s="37" t="s">
        <v>724</v>
      </c>
      <c r="Q6" s="29">
        <f t="shared" ref="Q6:Q57" si="6">J6*4</f>
        <v>0.5758526006</v>
      </c>
      <c r="R6" s="29">
        <f t="shared" ref="R6:R57" si="7">K6*3</f>
        <v>0.2321469698</v>
      </c>
      <c r="S6" s="29">
        <f t="shared" ref="S6:S57" si="8">L6*2</f>
        <v>0.3038218101</v>
      </c>
      <c r="T6" s="29">
        <f t="shared" ref="T6:T57" si="9">M6*4</f>
        <v>0.2038588766</v>
      </c>
      <c r="U6" s="29">
        <f t="shared" ref="U6:U57" si="10">N6*5</f>
        <v>0.7994118492</v>
      </c>
      <c r="V6" s="87"/>
      <c r="W6" s="37" t="s">
        <v>725</v>
      </c>
      <c r="X6" s="29">
        <f t="shared" ref="X6:X57" si="11">SQRT(SUMPRODUCT((Q6:U6 - Q$60:U$60)^2))</f>
        <v>1.128668331</v>
      </c>
      <c r="Y6" s="73">
        <f t="shared" ref="Y6:Y57" si="12">SQRT(SUMPRODUCT((Q6:U6 - Q$61:U$61)^2))</f>
        <v>0.7086296068</v>
      </c>
      <c r="Z6" s="68"/>
      <c r="AA6" s="70" t="s">
        <v>726</v>
      </c>
      <c r="AB6" s="74">
        <f t="shared" ref="AB6:AB57" si="13">Y6 / (X6 + Y6)</f>
        <v>0.3856911785</v>
      </c>
      <c r="AC6" s="57"/>
      <c r="AD6" s="61" t="s">
        <v>201</v>
      </c>
      <c r="AE6" s="77"/>
      <c r="AF6" s="68"/>
      <c r="AG6" s="68"/>
      <c r="AH6" s="68"/>
      <c r="AI6" s="68"/>
    </row>
    <row r="7">
      <c r="B7" s="38" t="s">
        <v>727</v>
      </c>
      <c r="C7" s="29">
        <f>IFS('data clean'!C8&lt;=1, 1, 'data clean'!C8&lt;=25, 2, 'data clean'!C8&lt;=50, 3, 'data clean'!C8&lt;=75, 4, TRUE, 5)</f>
        <v>2</v>
      </c>
      <c r="D7" s="29">
        <f>IFS('data clean'!D8&lt;=1, 1, 'data clean'!D8&lt;=25, 2, 'data clean'!D8&lt;=50, 3, 'data clean'!D8&lt;=75, 4, TRUE, 5)</f>
        <v>2</v>
      </c>
      <c r="E7" s="29">
        <f>IFS('data clean'!E8&lt;=1, 1, 'data clean'!E8&lt;=25, 2, 'data clean'!E8&lt;=50, 3, 'data clean'!E8&lt;=75, 4, TRUE, 5)</f>
        <v>5</v>
      </c>
      <c r="F7" s="29">
        <f>IFS('data clean'!F8&lt;=1, 1, 'data clean'!F8&lt;=3, 2, 'data clean'!F8&lt;=5, 3, 'data clean'!F8&lt;=7, 4, TRUE, 5)</f>
        <v>2</v>
      </c>
      <c r="G7" s="29">
        <f>IFS('data clean'!G8&lt;=100, 5, 'data clean'!G8&lt;=200, 4, 'data clean'!G8&lt;=350, 3, 'data clean'!G8&lt;=500, 2, TRUE, 1)</f>
        <v>3</v>
      </c>
      <c r="I7" s="38" t="s">
        <v>728</v>
      </c>
      <c r="J7" s="29">
        <f t="shared" si="1"/>
        <v>0.1439631501</v>
      </c>
      <c r="K7" s="29">
        <f t="shared" si="2"/>
        <v>0.1547646465</v>
      </c>
      <c r="L7" s="29">
        <f t="shared" si="3"/>
        <v>0.2531848418</v>
      </c>
      <c r="M7" s="29">
        <f t="shared" si="4"/>
        <v>0.1019294383</v>
      </c>
      <c r="N7" s="29">
        <f t="shared" si="5"/>
        <v>0.09592942191</v>
      </c>
      <c r="P7" s="38" t="s">
        <v>729</v>
      </c>
      <c r="Q7" s="29">
        <f t="shared" si="6"/>
        <v>0.5758526006</v>
      </c>
      <c r="R7" s="29">
        <f t="shared" si="7"/>
        <v>0.4642939395</v>
      </c>
      <c r="S7" s="29">
        <f t="shared" si="8"/>
        <v>0.5063696835</v>
      </c>
      <c r="T7" s="29">
        <f t="shared" si="9"/>
        <v>0.4077177532</v>
      </c>
      <c r="U7" s="29">
        <f t="shared" si="10"/>
        <v>0.4796471095</v>
      </c>
      <c r="V7" s="87"/>
      <c r="W7" s="38" t="s">
        <v>730</v>
      </c>
      <c r="X7" s="29">
        <f t="shared" si="11"/>
        <v>0.8801965005</v>
      </c>
      <c r="Y7" s="73">
        <f t="shared" si="12"/>
        <v>0.6106630762</v>
      </c>
      <c r="Z7" s="68"/>
      <c r="AA7" s="75" t="s">
        <v>731</v>
      </c>
      <c r="AB7" s="74">
        <f t="shared" si="13"/>
        <v>0.409604691</v>
      </c>
      <c r="AC7" s="57"/>
      <c r="AD7" s="78" t="str">
        <f>IFERROR(__xludf.DUMMYFUNCTION("SORTN(AA6:AB29, 5, 0, AB6:AB29, FALSE)"),"Kacang kedelai, goreng")</f>
        <v>Kacang kedelai, goreng</v>
      </c>
      <c r="AE7" s="68">
        <f>IFERROR(__xludf.DUMMYFUNCTION("""COMPUTED_VALUE"""),0.7690482939784103)</f>
        <v>0.769048294</v>
      </c>
      <c r="AF7" s="68"/>
      <c r="AG7" s="68"/>
      <c r="AH7" s="68"/>
      <c r="AI7" s="68"/>
    </row>
    <row r="8">
      <c r="B8" s="39" t="s">
        <v>732</v>
      </c>
      <c r="C8" s="29">
        <f>IFS('data clean'!C9&lt;=1, 1, 'data clean'!C9&lt;=25, 2, 'data clean'!C9&lt;=50, 3, 'data clean'!C9&lt;=75, 4, TRUE, 5)</f>
        <v>2</v>
      </c>
      <c r="D8" s="29">
        <f>IFS('data clean'!D9&lt;=1, 1, 'data clean'!D9&lt;=25, 2, 'data clean'!D9&lt;=50, 3, 'data clean'!D9&lt;=75, 4, TRUE, 5)</f>
        <v>1</v>
      </c>
      <c r="E8" s="29">
        <f>IFS('data clean'!E9&lt;=1, 1, 'data clean'!E9&lt;=25, 2, 'data clean'!E9&lt;=50, 3, 'data clean'!E9&lt;=75, 4, TRUE, 5)</f>
        <v>2</v>
      </c>
      <c r="F8" s="29">
        <f>IFS('data clean'!F9&lt;=1, 1, 'data clean'!F9&lt;=3, 2, 'data clean'!F9&lt;=5, 3, 'data clean'!F9&lt;=7, 4, TRUE, 5)</f>
        <v>5</v>
      </c>
      <c r="G8" s="29">
        <f>IFS('data clean'!G9&lt;=100, 5, 'data clean'!G9&lt;=200, 4, 'data clean'!G9&lt;=350, 3, 'data clean'!G9&lt;=500, 2, TRUE, 1)</f>
        <v>2</v>
      </c>
      <c r="I8" s="39" t="s">
        <v>733</v>
      </c>
      <c r="J8" s="29">
        <f t="shared" si="1"/>
        <v>0.1439631501</v>
      </c>
      <c r="K8" s="29">
        <f t="shared" si="2"/>
        <v>0.07738232325</v>
      </c>
      <c r="L8" s="29">
        <f t="shared" si="3"/>
        <v>0.1012739367</v>
      </c>
      <c r="M8" s="29">
        <f t="shared" si="4"/>
        <v>0.2548235957</v>
      </c>
      <c r="N8" s="29">
        <f t="shared" si="5"/>
        <v>0.06395294794</v>
      </c>
      <c r="P8" s="39" t="s">
        <v>734</v>
      </c>
      <c r="Q8" s="29">
        <f t="shared" si="6"/>
        <v>0.5758526006</v>
      </c>
      <c r="R8" s="29">
        <f t="shared" si="7"/>
        <v>0.2321469698</v>
      </c>
      <c r="S8" s="29">
        <f t="shared" si="8"/>
        <v>0.2025478734</v>
      </c>
      <c r="T8" s="29">
        <f t="shared" si="9"/>
        <v>1.019294383</v>
      </c>
      <c r="U8" s="29">
        <f t="shared" si="10"/>
        <v>0.3197647397</v>
      </c>
      <c r="V8" s="87"/>
      <c r="W8" s="39" t="s">
        <v>735</v>
      </c>
      <c r="X8" s="29">
        <f t="shared" si="11"/>
        <v>0.9435573838</v>
      </c>
      <c r="Y8" s="73">
        <f t="shared" si="12"/>
        <v>0.8794310613</v>
      </c>
      <c r="Z8" s="68"/>
      <c r="AA8" s="76" t="s">
        <v>736</v>
      </c>
      <c r="AB8" s="74">
        <f t="shared" si="13"/>
        <v>0.4824117584</v>
      </c>
      <c r="AC8" s="57"/>
      <c r="AD8" s="88" t="str">
        <f>IFERROR(__xludf.DUMMYFUNCTION("""COMPUTED_VALUE"""),"Beras jagung kuning, kering, mentah")</f>
        <v>Beras jagung kuning, kering, mentah</v>
      </c>
      <c r="AE8" s="68">
        <f>IFERROR(__xludf.DUMMYFUNCTION("""COMPUTED_VALUE"""),0.5972706956863015)</f>
        <v>0.5972706957</v>
      </c>
      <c r="AF8" s="68"/>
      <c r="AG8" s="68"/>
      <c r="AH8" s="68"/>
      <c r="AI8" s="68"/>
    </row>
    <row r="9">
      <c r="B9" s="38" t="s">
        <v>737</v>
      </c>
      <c r="C9" s="29">
        <f>IFS('data clean'!C10&lt;=1, 1, 'data clean'!C10&lt;=25, 2, 'data clean'!C10&lt;=50, 3, 'data clean'!C10&lt;=75, 4, TRUE, 5)</f>
        <v>2</v>
      </c>
      <c r="D9" s="29">
        <f>IFS('data clean'!D10&lt;=1, 1, 'data clean'!D10&lt;=25, 2, 'data clean'!D10&lt;=50, 3, 'data clean'!D10&lt;=75, 4, TRUE, 5)</f>
        <v>2</v>
      </c>
      <c r="E9" s="29">
        <f>IFS('data clean'!E10&lt;=1, 1, 'data clean'!E10&lt;=25, 2, 'data clean'!E10&lt;=50, 3, 'data clean'!E10&lt;=75, 4, TRUE, 5)</f>
        <v>2</v>
      </c>
      <c r="F9" s="29">
        <f>IFS('data clean'!F10&lt;=1, 1, 'data clean'!F10&lt;=3, 2, 'data clean'!F10&lt;=5, 3, 'data clean'!F10&lt;=7, 4, TRUE, 5)</f>
        <v>1</v>
      </c>
      <c r="G9" s="29">
        <f>IFS('data clean'!G10&lt;=100, 5, 'data clean'!G10&lt;=200, 4, 'data clean'!G10&lt;=350, 3, 'data clean'!G10&lt;=500, 2, TRUE, 1)</f>
        <v>1</v>
      </c>
      <c r="I9" s="38" t="s">
        <v>738</v>
      </c>
      <c r="J9" s="29">
        <f t="shared" si="1"/>
        <v>0.1439631501</v>
      </c>
      <c r="K9" s="29">
        <f t="shared" si="2"/>
        <v>0.1547646465</v>
      </c>
      <c r="L9" s="29">
        <f t="shared" si="3"/>
        <v>0.1012739367</v>
      </c>
      <c r="M9" s="29">
        <f t="shared" si="4"/>
        <v>0.05096471914</v>
      </c>
      <c r="N9" s="29">
        <f t="shared" si="5"/>
        <v>0.03197647397</v>
      </c>
      <c r="P9" s="38" t="s">
        <v>739</v>
      </c>
      <c r="Q9" s="29">
        <f t="shared" si="6"/>
        <v>0.5758526006</v>
      </c>
      <c r="R9" s="29">
        <f t="shared" si="7"/>
        <v>0.4642939395</v>
      </c>
      <c r="S9" s="29">
        <f t="shared" si="8"/>
        <v>0.2025478734</v>
      </c>
      <c r="T9" s="29">
        <f t="shared" si="9"/>
        <v>0.2038588766</v>
      </c>
      <c r="U9" s="29">
        <f t="shared" si="10"/>
        <v>0.1598823698</v>
      </c>
      <c r="V9" s="87"/>
      <c r="W9" s="38" t="s">
        <v>740</v>
      </c>
      <c r="X9" s="29">
        <f t="shared" si="11"/>
        <v>1.210252506</v>
      </c>
      <c r="Y9" s="73">
        <f t="shared" si="12"/>
        <v>0.3698564181</v>
      </c>
      <c r="Z9" s="68"/>
      <c r="AA9" s="75" t="s">
        <v>741</v>
      </c>
      <c r="AB9" s="74">
        <f t="shared" si="13"/>
        <v>0.2340702039</v>
      </c>
      <c r="AC9" s="57"/>
      <c r="AD9" s="88" t="str">
        <f>IFERROR(__xludf.DUMMYFUNCTION("""COMPUTED_VALUE"""),"Keripik ubi")</f>
        <v>Keripik ubi</v>
      </c>
      <c r="AE9" s="68">
        <f>IFERROR(__xludf.DUMMYFUNCTION("""COMPUTED_VALUE"""),0.5915117481260409)</f>
        <v>0.5915117481</v>
      </c>
      <c r="AF9" s="68"/>
      <c r="AG9" s="68"/>
      <c r="AH9" s="68"/>
      <c r="AI9" s="68"/>
    </row>
    <row r="10">
      <c r="A10" s="22"/>
      <c r="B10" s="40" t="s">
        <v>742</v>
      </c>
      <c r="C10" s="29">
        <f>IFS('data clean'!C11&lt;=1, 1, 'data clean'!C11&lt;=25, 2, 'data clean'!C11&lt;=50, 3, 'data clean'!C11&lt;=75, 4, TRUE, 5)</f>
        <v>2</v>
      </c>
      <c r="D10" s="29">
        <f>IFS('data clean'!D11&lt;=1, 1, 'data clean'!D11&lt;=25, 2, 'data clean'!D11&lt;=50, 3, 'data clean'!D11&lt;=75, 4, TRUE, 5)</f>
        <v>2</v>
      </c>
      <c r="E10" s="29">
        <f>IFS('data clean'!E11&lt;=1, 1, 'data clean'!E11&lt;=25, 2, 'data clean'!E11&lt;=50, 3, 'data clean'!E11&lt;=75, 4, TRUE, 5)</f>
        <v>5</v>
      </c>
      <c r="F10" s="29">
        <f>IFS('data clean'!F11&lt;=1, 1, 'data clean'!F11&lt;=3, 2, 'data clean'!F11&lt;=5, 3, 'data clean'!F11&lt;=7, 4, TRUE, 5)</f>
        <v>1</v>
      </c>
      <c r="G10" s="29">
        <f>IFS('data clean'!G11&lt;=100, 5, 'data clean'!G11&lt;=200, 4, 'data clean'!G11&lt;=350, 3, 'data clean'!G11&lt;=500, 2, TRUE, 1)</f>
        <v>5</v>
      </c>
      <c r="H10" s="22"/>
      <c r="I10" s="40" t="s">
        <v>743</v>
      </c>
      <c r="J10" s="29">
        <f t="shared" si="1"/>
        <v>0.1439631501</v>
      </c>
      <c r="K10" s="29">
        <f t="shared" si="2"/>
        <v>0.1547646465</v>
      </c>
      <c r="L10" s="29">
        <f t="shared" si="3"/>
        <v>0.2531848418</v>
      </c>
      <c r="M10" s="29">
        <f t="shared" si="4"/>
        <v>0.05096471914</v>
      </c>
      <c r="N10" s="29">
        <f t="shared" si="5"/>
        <v>0.1598823698</v>
      </c>
      <c r="O10" s="22"/>
      <c r="P10" s="40" t="s">
        <v>744</v>
      </c>
      <c r="Q10" s="29">
        <f t="shared" si="6"/>
        <v>0.5758526006</v>
      </c>
      <c r="R10" s="29">
        <f t="shared" si="7"/>
        <v>0.4642939395</v>
      </c>
      <c r="S10" s="29">
        <f t="shared" si="8"/>
        <v>0.5063696835</v>
      </c>
      <c r="T10" s="29">
        <f t="shared" si="9"/>
        <v>0.2038588766</v>
      </c>
      <c r="U10" s="29">
        <f t="shared" si="10"/>
        <v>0.7994118492</v>
      </c>
      <c r="V10" s="87"/>
      <c r="W10" s="40" t="s">
        <v>745</v>
      </c>
      <c r="X10" s="29">
        <f t="shared" si="11"/>
        <v>0.9815322112</v>
      </c>
      <c r="Y10" s="73">
        <f t="shared" si="12"/>
        <v>0.7988112526</v>
      </c>
      <c r="Z10" s="68"/>
      <c r="AA10" s="79" t="s">
        <v>746</v>
      </c>
      <c r="AB10" s="74">
        <f t="shared" si="13"/>
        <v>0.4486837899</v>
      </c>
      <c r="AC10" s="57"/>
      <c r="AD10" s="88" t="str">
        <f>IFERROR(__xludf.DUMMYFUNCTION("""COMPUTED_VALUE"""),"Batatas tali, ubi, rebus")</f>
        <v>Batatas tali, ubi, rebus</v>
      </c>
      <c r="AE10" s="68">
        <f>IFERROR(__xludf.DUMMYFUNCTION("""COMPUTED_VALUE"""),0.5806058254815614)</f>
        <v>0.5806058255</v>
      </c>
      <c r="AF10" s="68"/>
      <c r="AG10" s="68"/>
      <c r="AH10" s="68"/>
      <c r="AI10" s="68"/>
    </row>
    <row r="11">
      <c r="A11" s="22"/>
      <c r="B11" s="41" t="s">
        <v>747</v>
      </c>
      <c r="C11" s="29">
        <f>IFS('data clean'!C12&lt;=1, 1, 'data clean'!C12&lt;=25, 2, 'data clean'!C12&lt;=50, 3, 'data clean'!C12&lt;=75, 4, TRUE, 5)</f>
        <v>2</v>
      </c>
      <c r="D11" s="29">
        <f>IFS('data clean'!D12&lt;=1, 1, 'data clean'!D12&lt;=25, 2, 'data clean'!D12&lt;=50, 3, 'data clean'!D12&lt;=75, 4, TRUE, 5)</f>
        <v>1</v>
      </c>
      <c r="E11" s="29">
        <f>IFS('data clean'!E12&lt;=1, 1, 'data clean'!E12&lt;=25, 2, 'data clean'!E12&lt;=50, 3, 'data clean'!E12&lt;=75, 4, TRUE, 5)</f>
        <v>5</v>
      </c>
      <c r="F11" s="29">
        <f>IFS('data clean'!F12&lt;=1, 1, 'data clean'!F12&lt;=3, 2, 'data clean'!F12&lt;=5, 3, 'data clean'!F12&lt;=7, 4, TRUE, 5)</f>
        <v>5</v>
      </c>
      <c r="G11" s="29">
        <f>IFS('data clean'!G12&lt;=100, 5, 'data clean'!G12&lt;=200, 4, 'data clean'!G12&lt;=350, 3, 'data clean'!G12&lt;=500, 2, TRUE, 1)</f>
        <v>5</v>
      </c>
      <c r="H11" s="22"/>
      <c r="I11" s="41" t="s">
        <v>748</v>
      </c>
      <c r="J11" s="29">
        <f t="shared" si="1"/>
        <v>0.1439631501</v>
      </c>
      <c r="K11" s="29">
        <f t="shared" si="2"/>
        <v>0.07738232325</v>
      </c>
      <c r="L11" s="29">
        <f t="shared" si="3"/>
        <v>0.2531848418</v>
      </c>
      <c r="M11" s="29">
        <f t="shared" si="4"/>
        <v>0.2548235957</v>
      </c>
      <c r="N11" s="29">
        <f t="shared" si="5"/>
        <v>0.1598823698</v>
      </c>
      <c r="O11" s="22"/>
      <c r="P11" s="41" t="s">
        <v>749</v>
      </c>
      <c r="Q11" s="29">
        <f t="shared" si="6"/>
        <v>0.5758526006</v>
      </c>
      <c r="R11" s="29">
        <f t="shared" si="7"/>
        <v>0.2321469698</v>
      </c>
      <c r="S11" s="29">
        <f t="shared" si="8"/>
        <v>0.5063696835</v>
      </c>
      <c r="T11" s="29">
        <f t="shared" si="9"/>
        <v>1.019294383</v>
      </c>
      <c r="U11" s="29">
        <f t="shared" si="10"/>
        <v>0.7994118492</v>
      </c>
      <c r="V11" s="87"/>
      <c r="W11" s="41" t="s">
        <v>750</v>
      </c>
      <c r="X11" s="29">
        <f t="shared" si="11"/>
        <v>0.7536122972</v>
      </c>
      <c r="Y11" s="73">
        <f t="shared" si="12"/>
        <v>1.117650333</v>
      </c>
      <c r="Z11" s="68"/>
      <c r="AA11" s="80" t="s">
        <v>751</v>
      </c>
      <c r="AB11" s="74">
        <f t="shared" si="13"/>
        <v>0.5972706957</v>
      </c>
      <c r="AC11" s="57"/>
      <c r="AD11" s="88" t="str">
        <f>IFERROR(__xludf.DUMMYFUNCTION("""COMPUTED_VALUE"""),"Batatas kelapa, ubi, bakar")</f>
        <v>Batatas kelapa, ubi, bakar</v>
      </c>
      <c r="AE11" s="68">
        <f>IFERROR(__xludf.DUMMYFUNCTION("""COMPUTED_VALUE"""),0.5306524072353328)</f>
        <v>0.5306524072</v>
      </c>
      <c r="AF11" s="68"/>
      <c r="AG11" s="68"/>
      <c r="AH11" s="68"/>
      <c r="AI11" s="68"/>
    </row>
    <row r="12">
      <c r="B12" s="39" t="s">
        <v>752</v>
      </c>
      <c r="C12" s="29">
        <f>IFS('data clean'!C13&lt;=1, 1, 'data clean'!C13&lt;=25, 2, 'data clean'!C13&lt;=50, 3, 'data clean'!C13&lt;=75, 4, TRUE, 5)</f>
        <v>2</v>
      </c>
      <c r="D12" s="29">
        <f>IFS('data clean'!D13&lt;=1, 1, 'data clean'!D13&lt;=25, 2, 'data clean'!D13&lt;=50, 3, 'data clean'!D13&lt;=75, 4, TRUE, 5)</f>
        <v>2</v>
      </c>
      <c r="E12" s="29">
        <f>IFS('data clean'!E13&lt;=1, 1, 'data clean'!E13&lt;=25, 2, 'data clean'!E13&lt;=50, 3, 'data clean'!E13&lt;=75, 4, TRUE, 5)</f>
        <v>2</v>
      </c>
      <c r="F12" s="29">
        <f>IFS('data clean'!F13&lt;=1, 1, 'data clean'!F13&lt;=3, 2, 'data clean'!F13&lt;=5, 3, 'data clean'!F13&lt;=7, 4, TRUE, 5)</f>
        <v>3</v>
      </c>
      <c r="G12" s="29">
        <f>IFS('data clean'!G13&lt;=100, 5, 'data clean'!G13&lt;=200, 4, 'data clean'!G13&lt;=350, 3, 'data clean'!G13&lt;=500, 2, TRUE, 1)</f>
        <v>5</v>
      </c>
      <c r="I12" s="39" t="s">
        <v>753</v>
      </c>
      <c r="J12" s="29">
        <f t="shared" si="1"/>
        <v>0.1439631501</v>
      </c>
      <c r="K12" s="29">
        <f t="shared" si="2"/>
        <v>0.1547646465</v>
      </c>
      <c r="L12" s="29">
        <f t="shared" si="3"/>
        <v>0.1012739367</v>
      </c>
      <c r="M12" s="29">
        <f t="shared" si="4"/>
        <v>0.1528941574</v>
      </c>
      <c r="N12" s="29">
        <f t="shared" si="5"/>
        <v>0.1598823698</v>
      </c>
      <c r="P12" s="39" t="s">
        <v>754</v>
      </c>
      <c r="Q12" s="29">
        <f t="shared" si="6"/>
        <v>0.5758526006</v>
      </c>
      <c r="R12" s="29">
        <f t="shared" si="7"/>
        <v>0.4642939395</v>
      </c>
      <c r="S12" s="29">
        <f t="shared" si="8"/>
        <v>0.2025478734</v>
      </c>
      <c r="T12" s="29">
        <f t="shared" si="9"/>
        <v>0.6115766297</v>
      </c>
      <c r="U12" s="29">
        <f t="shared" si="10"/>
        <v>0.7994118492</v>
      </c>
      <c r="V12" s="87"/>
      <c r="W12" s="39" t="s">
        <v>755</v>
      </c>
      <c r="X12" s="29">
        <f t="shared" si="11"/>
        <v>0.746332282</v>
      </c>
      <c r="Y12" s="73">
        <f t="shared" si="12"/>
        <v>0.8438160292</v>
      </c>
      <c r="Z12" s="68"/>
      <c r="AA12" s="76" t="s">
        <v>756</v>
      </c>
      <c r="AB12" s="74">
        <f t="shared" si="13"/>
        <v>0.5306524072</v>
      </c>
      <c r="AC12" s="57"/>
      <c r="AD12" s="68"/>
      <c r="AE12" s="68"/>
      <c r="AF12" s="68"/>
      <c r="AG12" s="68"/>
      <c r="AH12" s="68"/>
      <c r="AI12" s="68"/>
    </row>
    <row r="13">
      <c r="B13" s="39" t="s">
        <v>757</v>
      </c>
      <c r="C13" s="29">
        <f>IFS('data clean'!C14&lt;=1, 1, 'data clean'!C14&lt;=25, 2, 'data clean'!C14&lt;=50, 3, 'data clean'!C14&lt;=75, 4, TRUE, 5)</f>
        <v>2</v>
      </c>
      <c r="D13" s="29">
        <f>IFS('data clean'!D14&lt;=1, 1, 'data clean'!D14&lt;=25, 2, 'data clean'!D14&lt;=50, 3, 'data clean'!D14&lt;=75, 4, TRUE, 5)</f>
        <v>1</v>
      </c>
      <c r="E13" s="29">
        <f>IFS('data clean'!E14&lt;=1, 1, 'data clean'!E14&lt;=25, 2, 'data clean'!E14&lt;=50, 3, 'data clean'!E14&lt;=75, 4, TRUE, 5)</f>
        <v>2</v>
      </c>
      <c r="F13" s="29">
        <f>IFS('data clean'!F14&lt;=1, 1, 'data clean'!F14&lt;=3, 2, 'data clean'!F14&lt;=5, 3, 'data clean'!F14&lt;=7, 4, TRUE, 5)</f>
        <v>3</v>
      </c>
      <c r="G13" s="29">
        <f>IFS('data clean'!G14&lt;=100, 5, 'data clean'!G14&lt;=200, 4, 'data clean'!G14&lt;=350, 3, 'data clean'!G14&lt;=500, 2, TRUE, 1)</f>
        <v>5</v>
      </c>
      <c r="I13" s="39" t="s">
        <v>758</v>
      </c>
      <c r="J13" s="29">
        <f t="shared" si="1"/>
        <v>0.1439631501</v>
      </c>
      <c r="K13" s="29">
        <f t="shared" si="2"/>
        <v>0.07738232325</v>
      </c>
      <c r="L13" s="29">
        <f t="shared" si="3"/>
        <v>0.1012739367</v>
      </c>
      <c r="M13" s="29">
        <f t="shared" si="4"/>
        <v>0.1528941574</v>
      </c>
      <c r="N13" s="29">
        <f t="shared" si="5"/>
        <v>0.1598823698</v>
      </c>
      <c r="P13" s="39" t="s">
        <v>759</v>
      </c>
      <c r="Q13" s="29">
        <f t="shared" si="6"/>
        <v>0.5758526006</v>
      </c>
      <c r="R13" s="29">
        <f t="shared" si="7"/>
        <v>0.2321469698</v>
      </c>
      <c r="S13" s="29">
        <f t="shared" si="8"/>
        <v>0.2025478734</v>
      </c>
      <c r="T13" s="29">
        <f t="shared" si="9"/>
        <v>0.6115766297</v>
      </c>
      <c r="U13" s="29">
        <f t="shared" si="10"/>
        <v>0.7994118492</v>
      </c>
      <c r="V13" s="87"/>
      <c r="W13" s="39" t="s">
        <v>760</v>
      </c>
      <c r="X13" s="29">
        <f t="shared" si="11"/>
        <v>0.9091055786</v>
      </c>
      <c r="Y13" s="73">
        <f t="shared" si="12"/>
        <v>0.8112541375</v>
      </c>
      <c r="Z13" s="68"/>
      <c r="AA13" s="76" t="s">
        <v>761</v>
      </c>
      <c r="AB13" s="74">
        <f t="shared" si="13"/>
        <v>0.4715607613</v>
      </c>
      <c r="AC13" s="57"/>
      <c r="AD13" s="68"/>
      <c r="AE13" s="68"/>
      <c r="AF13" s="68"/>
      <c r="AG13" s="68"/>
      <c r="AH13" s="68"/>
      <c r="AI13" s="68"/>
    </row>
    <row r="14">
      <c r="B14" s="39" t="s">
        <v>762</v>
      </c>
      <c r="C14" s="29">
        <f>IFS('data clean'!C15&lt;=1, 1, 'data clean'!C15&lt;=25, 2, 'data clean'!C15&lt;=50, 3, 'data clean'!C15&lt;=75, 4, TRUE, 5)</f>
        <v>2</v>
      </c>
      <c r="D14" s="29">
        <f>IFS('data clean'!D15&lt;=1, 1, 'data clean'!D15&lt;=25, 2, 'data clean'!D15&lt;=50, 3, 'data clean'!D15&lt;=75, 4, TRUE, 5)</f>
        <v>1</v>
      </c>
      <c r="E14" s="29">
        <f>IFS('data clean'!E15&lt;=1, 1, 'data clean'!E15&lt;=25, 2, 'data clean'!E15&lt;=50, 3, 'data clean'!E15&lt;=75, 4, TRUE, 5)</f>
        <v>3</v>
      </c>
      <c r="F14" s="29">
        <f>IFS('data clean'!F15&lt;=1, 1, 'data clean'!F15&lt;=3, 2, 'data clean'!F15&lt;=5, 3, 'data clean'!F15&lt;=7, 4, TRUE, 5)</f>
        <v>5</v>
      </c>
      <c r="G14" s="29">
        <f>IFS('data clean'!G15&lt;=100, 5, 'data clean'!G15&lt;=200, 4, 'data clean'!G15&lt;=350, 3, 'data clean'!G15&lt;=500, 2, TRUE, 1)</f>
        <v>5</v>
      </c>
      <c r="I14" s="39" t="s">
        <v>763</v>
      </c>
      <c r="J14" s="29">
        <f t="shared" si="1"/>
        <v>0.1439631501</v>
      </c>
      <c r="K14" s="29">
        <f t="shared" si="2"/>
        <v>0.07738232325</v>
      </c>
      <c r="L14" s="29">
        <f t="shared" si="3"/>
        <v>0.1519109051</v>
      </c>
      <c r="M14" s="29">
        <f t="shared" si="4"/>
        <v>0.2548235957</v>
      </c>
      <c r="N14" s="29">
        <f t="shared" si="5"/>
        <v>0.1598823698</v>
      </c>
      <c r="P14" s="39" t="s">
        <v>764</v>
      </c>
      <c r="Q14" s="29">
        <f t="shared" si="6"/>
        <v>0.5758526006</v>
      </c>
      <c r="R14" s="29">
        <f t="shared" si="7"/>
        <v>0.2321469698</v>
      </c>
      <c r="S14" s="29">
        <f t="shared" si="8"/>
        <v>0.3038218101</v>
      </c>
      <c r="T14" s="29">
        <f t="shared" si="9"/>
        <v>1.019294383</v>
      </c>
      <c r="U14" s="29">
        <f t="shared" si="10"/>
        <v>0.7994118492</v>
      </c>
      <c r="V14" s="87"/>
      <c r="W14" s="39" t="s">
        <v>765</v>
      </c>
      <c r="X14" s="29">
        <f t="shared" si="11"/>
        <v>0.7803570564</v>
      </c>
      <c r="Y14" s="73">
        <f t="shared" si="12"/>
        <v>1.080319853</v>
      </c>
      <c r="Z14" s="68"/>
      <c r="AA14" s="76" t="s">
        <v>766</v>
      </c>
      <c r="AB14" s="74">
        <f t="shared" si="13"/>
        <v>0.5806058255</v>
      </c>
      <c r="AC14" s="57"/>
      <c r="AD14" s="68"/>
      <c r="AE14" s="68"/>
      <c r="AF14" s="68"/>
      <c r="AG14" s="68"/>
      <c r="AH14" s="68"/>
      <c r="AI14" s="68"/>
    </row>
    <row r="15">
      <c r="B15" s="39" t="s">
        <v>767</v>
      </c>
      <c r="C15" s="29">
        <f>IFS('data clean'!C16&lt;=1, 1, 'data clean'!C16&lt;=25, 2, 'data clean'!C16&lt;=50, 3, 'data clean'!C16&lt;=75, 4, TRUE, 5)</f>
        <v>2</v>
      </c>
      <c r="D15" s="29">
        <f>IFS('data clean'!D16&lt;=1, 1, 'data clean'!D16&lt;=25, 2, 'data clean'!D16&lt;=50, 3, 'data clean'!D16&lt;=75, 4, TRUE, 5)</f>
        <v>1</v>
      </c>
      <c r="E15" s="29">
        <f>IFS('data clean'!E16&lt;=1, 1, 'data clean'!E16&lt;=25, 2, 'data clean'!E16&lt;=50, 3, 'data clean'!E16&lt;=75, 4, TRUE, 5)</f>
        <v>3</v>
      </c>
      <c r="F15" s="29">
        <f>IFS('data clean'!F16&lt;=1, 1, 'data clean'!F16&lt;=3, 2, 'data clean'!F16&lt;=5, 3, 'data clean'!F16&lt;=7, 4, TRUE, 5)</f>
        <v>1</v>
      </c>
      <c r="G15" s="29">
        <f>IFS('data clean'!G16&lt;=100, 5, 'data clean'!G16&lt;=200, 4, 'data clean'!G16&lt;=350, 3, 'data clean'!G16&lt;=500, 2, TRUE, 1)</f>
        <v>5</v>
      </c>
      <c r="I15" s="39" t="s">
        <v>768</v>
      </c>
      <c r="J15" s="29">
        <f t="shared" si="1"/>
        <v>0.1439631501</v>
      </c>
      <c r="K15" s="29">
        <f t="shared" si="2"/>
        <v>0.07738232325</v>
      </c>
      <c r="L15" s="29">
        <f t="shared" si="3"/>
        <v>0.1519109051</v>
      </c>
      <c r="M15" s="29">
        <f t="shared" si="4"/>
        <v>0.05096471914</v>
      </c>
      <c r="N15" s="29">
        <f t="shared" si="5"/>
        <v>0.1598823698</v>
      </c>
      <c r="P15" s="39" t="s">
        <v>769</v>
      </c>
      <c r="Q15" s="29">
        <f t="shared" si="6"/>
        <v>0.5758526006</v>
      </c>
      <c r="R15" s="29">
        <f t="shared" si="7"/>
        <v>0.2321469698</v>
      </c>
      <c r="S15" s="29">
        <f t="shared" si="8"/>
        <v>0.3038218101</v>
      </c>
      <c r="T15" s="29">
        <f t="shared" si="9"/>
        <v>0.2038588766</v>
      </c>
      <c r="U15" s="29">
        <f t="shared" si="10"/>
        <v>0.7994118492</v>
      </c>
      <c r="V15" s="87"/>
      <c r="W15" s="39" t="s">
        <v>770</v>
      </c>
      <c r="X15" s="29">
        <f t="shared" si="11"/>
        <v>1.128668331</v>
      </c>
      <c r="Y15" s="73">
        <f t="shared" si="12"/>
        <v>0.7086296068</v>
      </c>
      <c r="Z15" s="68"/>
      <c r="AA15" s="76" t="s">
        <v>771</v>
      </c>
      <c r="AB15" s="74">
        <f t="shared" si="13"/>
        <v>0.3856911785</v>
      </c>
      <c r="AC15" s="57"/>
      <c r="AD15" s="68"/>
      <c r="AE15" s="68"/>
      <c r="AF15" s="68"/>
      <c r="AG15" s="68"/>
      <c r="AH15" s="68"/>
      <c r="AI15" s="68"/>
    </row>
    <row r="16">
      <c r="B16" s="39" t="s">
        <v>772</v>
      </c>
      <c r="C16" s="29">
        <f>IFS('data clean'!C17&lt;=1, 1, 'data clean'!C17&lt;=25, 2, 'data clean'!C17&lt;=50, 3, 'data clean'!C17&lt;=75, 4, TRUE, 5)</f>
        <v>2</v>
      </c>
      <c r="D16" s="29">
        <f>IFS('data clean'!D17&lt;=1, 1, 'data clean'!D17&lt;=25, 2, 'data clean'!D17&lt;=50, 3, 'data clean'!D17&lt;=75, 4, TRUE, 5)</f>
        <v>1</v>
      </c>
      <c r="E16" s="29">
        <f>IFS('data clean'!E17&lt;=1, 1, 'data clean'!E17&lt;=25, 2, 'data clean'!E17&lt;=50, 3, 'data clean'!E17&lt;=75, 4, TRUE, 5)</f>
        <v>3</v>
      </c>
      <c r="F16" s="29">
        <f>IFS('data clean'!F17&lt;=1, 1, 'data clean'!F17&lt;=3, 2, 'data clean'!F17&lt;=5, 3, 'data clean'!F17&lt;=7, 4, TRUE, 5)</f>
        <v>2</v>
      </c>
      <c r="G16" s="29">
        <f>IFS('data clean'!G17&lt;=100, 5, 'data clean'!G17&lt;=200, 4, 'data clean'!G17&lt;=350, 3, 'data clean'!G17&lt;=500, 2, TRUE, 1)</f>
        <v>5</v>
      </c>
      <c r="I16" s="39" t="s">
        <v>773</v>
      </c>
      <c r="J16" s="29">
        <f t="shared" si="1"/>
        <v>0.1439631501</v>
      </c>
      <c r="K16" s="29">
        <f t="shared" si="2"/>
        <v>0.07738232325</v>
      </c>
      <c r="L16" s="29">
        <f t="shared" si="3"/>
        <v>0.1519109051</v>
      </c>
      <c r="M16" s="29">
        <f t="shared" si="4"/>
        <v>0.1019294383</v>
      </c>
      <c r="N16" s="29">
        <f t="shared" si="5"/>
        <v>0.1598823698</v>
      </c>
      <c r="P16" s="39" t="s">
        <v>774</v>
      </c>
      <c r="Q16" s="29">
        <f t="shared" si="6"/>
        <v>0.5758526006</v>
      </c>
      <c r="R16" s="29">
        <f t="shared" si="7"/>
        <v>0.2321469698</v>
      </c>
      <c r="S16" s="29">
        <f t="shared" si="8"/>
        <v>0.3038218101</v>
      </c>
      <c r="T16" s="29">
        <f t="shared" si="9"/>
        <v>0.4077177532</v>
      </c>
      <c r="U16" s="29">
        <f t="shared" si="10"/>
        <v>0.7994118492</v>
      </c>
      <c r="V16" s="87"/>
      <c r="W16" s="39" t="s">
        <v>775</v>
      </c>
      <c r="X16" s="29">
        <f t="shared" si="11"/>
        <v>0.9914550467</v>
      </c>
      <c r="Y16" s="73">
        <f t="shared" si="12"/>
        <v>0.7373698944</v>
      </c>
      <c r="Z16" s="68"/>
      <c r="AA16" s="76" t="s">
        <v>776</v>
      </c>
      <c r="AB16" s="74">
        <f t="shared" si="13"/>
        <v>0.4265150721</v>
      </c>
      <c r="AC16" s="57"/>
      <c r="AD16" s="68"/>
      <c r="AE16" s="68"/>
      <c r="AF16" s="68"/>
      <c r="AG16" s="68"/>
      <c r="AH16" s="68"/>
      <c r="AI16" s="68"/>
    </row>
    <row r="17">
      <c r="B17" s="39" t="s">
        <v>777</v>
      </c>
      <c r="C17" s="29">
        <f>IFS('data clean'!C18&lt;=1, 1, 'data clean'!C18&lt;=25, 2, 'data clean'!C18&lt;=50, 3, 'data clean'!C18&lt;=75, 4, TRUE, 5)</f>
        <v>1</v>
      </c>
      <c r="D17" s="29">
        <f>IFS('data clean'!D18&lt;=1, 1, 'data clean'!D18&lt;=25, 2, 'data clean'!D18&lt;=50, 3, 'data clean'!D18&lt;=75, 4, TRUE, 5)</f>
        <v>1</v>
      </c>
      <c r="E17" s="29">
        <f>IFS('data clean'!E18&lt;=1, 1, 'data clean'!E18&lt;=25, 2, 'data clean'!E18&lt;=50, 3, 'data clean'!E18&lt;=75, 4, TRUE, 5)</f>
        <v>2</v>
      </c>
      <c r="F17" s="29">
        <f>IFS('data clean'!F18&lt;=1, 1, 'data clean'!F18&lt;=3, 2, 'data clean'!F18&lt;=5, 3, 'data clean'!F18&lt;=7, 4, TRUE, 5)</f>
        <v>1</v>
      </c>
      <c r="G17" s="29">
        <f>IFS('data clean'!G18&lt;=100, 5, 'data clean'!G18&lt;=200, 4, 'data clean'!G18&lt;=350, 3, 'data clean'!G18&lt;=500, 2, TRUE, 1)</f>
        <v>5</v>
      </c>
      <c r="I17" s="39" t="s">
        <v>778</v>
      </c>
      <c r="J17" s="29">
        <f t="shared" si="1"/>
        <v>0.07198157507</v>
      </c>
      <c r="K17" s="29">
        <f t="shared" si="2"/>
        <v>0.07738232325</v>
      </c>
      <c r="L17" s="29">
        <f t="shared" si="3"/>
        <v>0.1012739367</v>
      </c>
      <c r="M17" s="29">
        <f t="shared" si="4"/>
        <v>0.05096471914</v>
      </c>
      <c r="N17" s="29">
        <f t="shared" si="5"/>
        <v>0.1598823698</v>
      </c>
      <c r="P17" s="39" t="s">
        <v>779</v>
      </c>
      <c r="Q17" s="29">
        <f t="shared" si="6"/>
        <v>0.2879263003</v>
      </c>
      <c r="R17" s="29">
        <f t="shared" si="7"/>
        <v>0.2321469698</v>
      </c>
      <c r="S17" s="29">
        <f t="shared" si="8"/>
        <v>0.2025478734</v>
      </c>
      <c r="T17" s="29">
        <f t="shared" si="9"/>
        <v>0.2038588766</v>
      </c>
      <c r="U17" s="29">
        <f t="shared" si="10"/>
        <v>0.7994118492</v>
      </c>
      <c r="V17" s="87"/>
      <c r="W17" s="39" t="s">
        <v>780</v>
      </c>
      <c r="X17" s="29">
        <f t="shared" si="11"/>
        <v>1.254543309</v>
      </c>
      <c r="Y17" s="73">
        <f t="shared" si="12"/>
        <v>0.6395294794</v>
      </c>
      <c r="Z17" s="68"/>
      <c r="AA17" s="76" t="s">
        <v>781</v>
      </c>
      <c r="AB17" s="74">
        <f t="shared" si="13"/>
        <v>0.3376477838</v>
      </c>
      <c r="AC17" s="57"/>
      <c r="AD17" s="68"/>
      <c r="AE17" s="68"/>
      <c r="AF17" s="68"/>
      <c r="AG17" s="68"/>
      <c r="AH17" s="68"/>
      <c r="AI17" s="68"/>
    </row>
    <row r="18">
      <c r="B18" s="39" t="s">
        <v>782</v>
      </c>
      <c r="C18" s="29">
        <f>IFS('data clean'!C19&lt;=1, 1, 'data clean'!C19&lt;=25, 2, 'data clean'!C19&lt;=50, 3, 'data clean'!C19&lt;=75, 4, TRUE, 5)</f>
        <v>1</v>
      </c>
      <c r="D18" s="29">
        <f>IFS('data clean'!D19&lt;=1, 1, 'data clean'!D19&lt;=25, 2, 'data clean'!D19&lt;=50, 3, 'data clean'!D19&lt;=75, 4, TRUE, 5)</f>
        <v>1</v>
      </c>
      <c r="E18" s="29">
        <f>IFS('data clean'!E19&lt;=1, 1, 'data clean'!E19&lt;=25, 2, 'data clean'!E19&lt;=50, 3, 'data clean'!E19&lt;=75, 4, TRUE, 5)</f>
        <v>3</v>
      </c>
      <c r="F18" s="29">
        <f>IFS('data clean'!F19&lt;=1, 1, 'data clean'!F19&lt;=3, 2, 'data clean'!F19&lt;=5, 3, 'data clean'!F19&lt;=7, 4, TRUE, 5)</f>
        <v>2</v>
      </c>
      <c r="G18" s="29">
        <f>IFS('data clean'!G19&lt;=100, 5, 'data clean'!G19&lt;=200, 4, 'data clean'!G19&lt;=350, 3, 'data clean'!G19&lt;=500, 2, TRUE, 1)</f>
        <v>5</v>
      </c>
      <c r="I18" s="39" t="s">
        <v>783</v>
      </c>
      <c r="J18" s="29">
        <f t="shared" si="1"/>
        <v>0.07198157507</v>
      </c>
      <c r="K18" s="29">
        <f t="shared" si="2"/>
        <v>0.07738232325</v>
      </c>
      <c r="L18" s="29">
        <f t="shared" si="3"/>
        <v>0.1519109051</v>
      </c>
      <c r="M18" s="29">
        <f t="shared" si="4"/>
        <v>0.1019294383</v>
      </c>
      <c r="N18" s="29">
        <f t="shared" si="5"/>
        <v>0.1598823698</v>
      </c>
      <c r="P18" s="39" t="s">
        <v>784</v>
      </c>
      <c r="Q18" s="29">
        <f t="shared" si="6"/>
        <v>0.2879263003</v>
      </c>
      <c r="R18" s="29">
        <f t="shared" si="7"/>
        <v>0.2321469698</v>
      </c>
      <c r="S18" s="29">
        <f t="shared" si="8"/>
        <v>0.3038218101</v>
      </c>
      <c r="T18" s="29">
        <f t="shared" si="9"/>
        <v>0.4077177532</v>
      </c>
      <c r="U18" s="29">
        <f t="shared" si="10"/>
        <v>0.7994118492</v>
      </c>
      <c r="V18" s="87"/>
      <c r="W18" s="39" t="s">
        <v>785</v>
      </c>
      <c r="X18" s="29">
        <f t="shared" si="11"/>
        <v>1.109814297</v>
      </c>
      <c r="Y18" s="73">
        <f t="shared" si="12"/>
        <v>0.678831943</v>
      </c>
      <c r="Z18" s="68"/>
      <c r="AA18" s="76" t="s">
        <v>786</v>
      </c>
      <c r="AB18" s="74">
        <f t="shared" si="13"/>
        <v>0.3795227519</v>
      </c>
      <c r="AC18" s="57"/>
      <c r="AD18" s="68"/>
      <c r="AE18" s="68"/>
      <c r="AF18" s="68"/>
      <c r="AG18" s="68"/>
      <c r="AH18" s="68"/>
      <c r="AI18" s="68"/>
    </row>
    <row r="19">
      <c r="B19" s="43" t="s">
        <v>787</v>
      </c>
      <c r="C19" s="29">
        <f>IFS('data clean'!C20&lt;=1, 1, 'data clean'!C20&lt;=25, 2, 'data clean'!C20&lt;=50, 3, 'data clean'!C20&lt;=75, 4, TRUE, 5)</f>
        <v>2</v>
      </c>
      <c r="D19" s="29">
        <f>IFS('data clean'!D20&lt;=1, 1, 'data clean'!D20&lt;=25, 2, 'data clean'!D20&lt;=50, 3, 'data clean'!D20&lt;=75, 4, TRUE, 5)</f>
        <v>1</v>
      </c>
      <c r="E19" s="29">
        <f>IFS('data clean'!E20&lt;=1, 1, 'data clean'!E20&lt;=25, 2, 'data clean'!E20&lt;=50, 3, 'data clean'!E20&lt;=75, 4, TRUE, 5)</f>
        <v>3</v>
      </c>
      <c r="F19" s="29">
        <f>IFS('data clean'!F20&lt;=1, 1, 'data clean'!F20&lt;=3, 2, 'data clean'!F20&lt;=5, 3, 'data clean'!F20&lt;=7, 4, TRUE, 5)</f>
        <v>1</v>
      </c>
      <c r="G19" s="29">
        <f>IFS('data clean'!G20&lt;=100, 5, 'data clean'!G20&lt;=200, 4, 'data clean'!G20&lt;=350, 3, 'data clean'!G20&lt;=500, 2, TRUE, 1)</f>
        <v>5</v>
      </c>
      <c r="I19" s="43" t="s">
        <v>788</v>
      </c>
      <c r="J19" s="29">
        <f t="shared" si="1"/>
        <v>0.1439631501</v>
      </c>
      <c r="K19" s="29">
        <f t="shared" si="2"/>
        <v>0.07738232325</v>
      </c>
      <c r="L19" s="29">
        <f t="shared" si="3"/>
        <v>0.1519109051</v>
      </c>
      <c r="M19" s="29">
        <f t="shared" si="4"/>
        <v>0.05096471914</v>
      </c>
      <c r="N19" s="29">
        <f t="shared" si="5"/>
        <v>0.1598823698</v>
      </c>
      <c r="P19" s="43" t="s">
        <v>789</v>
      </c>
      <c r="Q19" s="29">
        <f t="shared" si="6"/>
        <v>0.5758526006</v>
      </c>
      <c r="R19" s="29">
        <f t="shared" si="7"/>
        <v>0.2321469698</v>
      </c>
      <c r="S19" s="29">
        <f t="shared" si="8"/>
        <v>0.3038218101</v>
      </c>
      <c r="T19" s="29">
        <f t="shared" si="9"/>
        <v>0.2038588766</v>
      </c>
      <c r="U19" s="29">
        <f t="shared" si="10"/>
        <v>0.7994118492</v>
      </c>
      <c r="V19" s="87"/>
      <c r="W19" s="43" t="s">
        <v>790</v>
      </c>
      <c r="X19" s="29">
        <f t="shared" si="11"/>
        <v>1.128668331</v>
      </c>
      <c r="Y19" s="73">
        <f t="shared" si="12"/>
        <v>0.7086296068</v>
      </c>
      <c r="Z19" s="68"/>
      <c r="AA19" s="81" t="s">
        <v>791</v>
      </c>
      <c r="AB19" s="74">
        <f t="shared" si="13"/>
        <v>0.3856911785</v>
      </c>
      <c r="AC19" s="57"/>
      <c r="AD19" s="68"/>
      <c r="AE19" s="68"/>
      <c r="AF19" s="68"/>
      <c r="AG19" s="68"/>
      <c r="AH19" s="68"/>
      <c r="AI19" s="68"/>
    </row>
    <row r="20">
      <c r="B20" s="39" t="s">
        <v>792</v>
      </c>
      <c r="C20" s="29">
        <f>IFS('data clean'!C21&lt;=1, 1, 'data clean'!C21&lt;=25, 2, 'data clean'!C21&lt;=50, 3, 'data clean'!C21&lt;=75, 4, TRUE, 5)</f>
        <v>1</v>
      </c>
      <c r="D20" s="29">
        <f>IFS('data clean'!D21&lt;=1, 1, 'data clean'!D21&lt;=25, 2, 'data clean'!D21&lt;=50, 3, 'data clean'!D21&lt;=75, 4, TRUE, 5)</f>
        <v>1</v>
      </c>
      <c r="E20" s="29">
        <f>IFS('data clean'!E21&lt;=1, 1, 'data clean'!E21&lt;=25, 2, 'data clean'!E21&lt;=50, 3, 'data clean'!E21&lt;=75, 4, TRUE, 5)</f>
        <v>2</v>
      </c>
      <c r="F20" s="29">
        <f>IFS('data clean'!F21&lt;=1, 1, 'data clean'!F21&lt;=3, 2, 'data clean'!F21&lt;=5, 3, 'data clean'!F21&lt;=7, 4, TRUE, 5)</f>
        <v>3</v>
      </c>
      <c r="G20" s="29">
        <f>IFS('data clean'!G21&lt;=100, 5, 'data clean'!G21&lt;=200, 4, 'data clean'!G21&lt;=350, 3, 'data clean'!G21&lt;=500, 2, TRUE, 1)</f>
        <v>5</v>
      </c>
      <c r="I20" s="39" t="s">
        <v>793</v>
      </c>
      <c r="J20" s="29">
        <f t="shared" si="1"/>
        <v>0.07198157507</v>
      </c>
      <c r="K20" s="29">
        <f t="shared" si="2"/>
        <v>0.07738232325</v>
      </c>
      <c r="L20" s="29">
        <f t="shared" si="3"/>
        <v>0.1012739367</v>
      </c>
      <c r="M20" s="29">
        <f t="shared" si="4"/>
        <v>0.1528941574</v>
      </c>
      <c r="N20" s="29">
        <f t="shared" si="5"/>
        <v>0.1598823698</v>
      </c>
      <c r="P20" s="39" t="s">
        <v>794</v>
      </c>
      <c r="Q20" s="29">
        <f t="shared" si="6"/>
        <v>0.2879263003</v>
      </c>
      <c r="R20" s="29">
        <f t="shared" si="7"/>
        <v>0.2321469698</v>
      </c>
      <c r="S20" s="29">
        <f t="shared" si="8"/>
        <v>0.2025478734</v>
      </c>
      <c r="T20" s="29">
        <f t="shared" si="9"/>
        <v>0.6115766297</v>
      </c>
      <c r="U20" s="29">
        <f t="shared" si="10"/>
        <v>0.7994118492</v>
      </c>
      <c r="V20" s="87"/>
      <c r="W20" s="39" t="s">
        <v>795</v>
      </c>
      <c r="X20" s="29">
        <f t="shared" si="11"/>
        <v>1.036907718</v>
      </c>
      <c r="Y20" s="73">
        <f t="shared" si="12"/>
        <v>0.7584403215</v>
      </c>
      <c r="Z20" s="68"/>
      <c r="AA20" s="76" t="s">
        <v>796</v>
      </c>
      <c r="AB20" s="74">
        <f t="shared" si="13"/>
        <v>0.422447517</v>
      </c>
      <c r="AC20" s="57"/>
      <c r="AD20" s="68"/>
      <c r="AE20" s="68"/>
      <c r="AF20" s="68"/>
      <c r="AG20" s="68"/>
      <c r="AH20" s="68"/>
      <c r="AI20" s="68"/>
    </row>
    <row r="21">
      <c r="B21" s="39" t="s">
        <v>797</v>
      </c>
      <c r="C21" s="29">
        <f>IFS('data clean'!C22&lt;=1, 1, 'data clean'!C22&lt;=25, 2, 'data clean'!C22&lt;=50, 3, 'data clean'!C22&lt;=75, 4, TRUE, 5)</f>
        <v>2</v>
      </c>
      <c r="D21" s="29">
        <f>IFS('data clean'!D22&lt;=1, 1, 'data clean'!D22&lt;=25, 2, 'data clean'!D22&lt;=50, 3, 'data clean'!D22&lt;=75, 4, TRUE, 5)</f>
        <v>2</v>
      </c>
      <c r="E21" s="29">
        <f>IFS('data clean'!E22&lt;=1, 1, 'data clean'!E22&lt;=25, 2, 'data clean'!E22&lt;=50, 3, 'data clean'!E22&lt;=75, 4, TRUE, 5)</f>
        <v>4</v>
      </c>
      <c r="F21" s="29">
        <f>IFS('data clean'!F22&lt;=1, 1, 'data clean'!F22&lt;=3, 2, 'data clean'!F22&lt;=5, 3, 'data clean'!F22&lt;=7, 4, TRUE, 5)</f>
        <v>3</v>
      </c>
      <c r="G21" s="29">
        <f>IFS('data clean'!G22&lt;=100, 5, 'data clean'!G22&lt;=200, 4, 'data clean'!G22&lt;=350, 3, 'data clean'!G22&lt;=500, 2, TRUE, 1)</f>
        <v>1</v>
      </c>
      <c r="I21" s="39" t="s">
        <v>798</v>
      </c>
      <c r="J21" s="29">
        <f t="shared" si="1"/>
        <v>0.1439631501</v>
      </c>
      <c r="K21" s="29">
        <f t="shared" si="2"/>
        <v>0.1547646465</v>
      </c>
      <c r="L21" s="29">
        <f t="shared" si="3"/>
        <v>0.2025478734</v>
      </c>
      <c r="M21" s="29">
        <f t="shared" si="4"/>
        <v>0.1528941574</v>
      </c>
      <c r="N21" s="29">
        <f t="shared" si="5"/>
        <v>0.03197647397</v>
      </c>
      <c r="P21" s="39" t="s">
        <v>799</v>
      </c>
      <c r="Q21" s="29">
        <f t="shared" si="6"/>
        <v>0.5758526006</v>
      </c>
      <c r="R21" s="29">
        <f t="shared" si="7"/>
        <v>0.4642939395</v>
      </c>
      <c r="S21" s="29">
        <f t="shared" si="8"/>
        <v>0.4050957468</v>
      </c>
      <c r="T21" s="29">
        <f t="shared" si="9"/>
        <v>0.6115766297</v>
      </c>
      <c r="U21" s="29">
        <f t="shared" si="10"/>
        <v>0.1598823698</v>
      </c>
      <c r="V21" s="87"/>
      <c r="W21" s="39" t="s">
        <v>800</v>
      </c>
      <c r="X21" s="29">
        <f t="shared" si="11"/>
        <v>0.9401906978</v>
      </c>
      <c r="Y21" s="73">
        <f t="shared" si="12"/>
        <v>0.5865604634</v>
      </c>
      <c r="Z21" s="68"/>
      <c r="AA21" s="76" t="s">
        <v>801</v>
      </c>
      <c r="AB21" s="74">
        <f t="shared" si="13"/>
        <v>0.3841886473</v>
      </c>
      <c r="AC21" s="57"/>
      <c r="AD21" s="68"/>
      <c r="AE21" s="68"/>
      <c r="AF21" s="68"/>
      <c r="AG21" s="68"/>
      <c r="AH21" s="68"/>
      <c r="AI21" s="68"/>
    </row>
    <row r="22">
      <c r="B22" s="38" t="s">
        <v>802</v>
      </c>
      <c r="C22" s="29">
        <f>IFS('data clean'!C23&lt;=1, 1, 'data clean'!C23&lt;=25, 2, 'data clean'!C23&lt;=50, 3, 'data clean'!C23&lt;=75, 4, TRUE, 5)</f>
        <v>1</v>
      </c>
      <c r="D22" s="29">
        <f>IFS('data clean'!D23&lt;=1, 1, 'data clean'!D23&lt;=25, 2, 'data clean'!D23&lt;=50, 3, 'data clean'!D23&lt;=75, 4, TRUE, 5)</f>
        <v>2</v>
      </c>
      <c r="E22" s="29">
        <f>IFS('data clean'!E23&lt;=1, 1, 'data clean'!E23&lt;=25, 2, 'data clean'!E23&lt;=50, 3, 'data clean'!E23&lt;=75, 4, TRUE, 5)</f>
        <v>4</v>
      </c>
      <c r="F22" s="29">
        <f>IFS('data clean'!F23&lt;=1, 1, 'data clean'!F23&lt;=3, 2, 'data clean'!F23&lt;=5, 3, 'data clean'!F23&lt;=7, 4, TRUE, 5)</f>
        <v>5</v>
      </c>
      <c r="G22" s="29">
        <f>IFS('data clean'!G23&lt;=100, 5, 'data clean'!G23&lt;=200, 4, 'data clean'!G23&lt;=350, 3, 'data clean'!G23&lt;=500, 2, TRUE, 1)</f>
        <v>5</v>
      </c>
      <c r="I22" s="38" t="s">
        <v>803</v>
      </c>
      <c r="J22" s="29">
        <f t="shared" si="1"/>
        <v>0.07198157507</v>
      </c>
      <c r="K22" s="29">
        <f t="shared" si="2"/>
        <v>0.1547646465</v>
      </c>
      <c r="L22" s="29">
        <f t="shared" si="3"/>
        <v>0.2025478734</v>
      </c>
      <c r="M22" s="29">
        <f t="shared" si="4"/>
        <v>0.2548235957</v>
      </c>
      <c r="N22" s="29">
        <f t="shared" si="5"/>
        <v>0.1598823698</v>
      </c>
      <c r="P22" s="38" t="s">
        <v>804</v>
      </c>
      <c r="Q22" s="29">
        <f t="shared" si="6"/>
        <v>0.2879263003</v>
      </c>
      <c r="R22" s="29">
        <f t="shared" si="7"/>
        <v>0.4642939395</v>
      </c>
      <c r="S22" s="29">
        <f t="shared" si="8"/>
        <v>0.4050957468</v>
      </c>
      <c r="T22" s="29">
        <f t="shared" si="9"/>
        <v>1.019294383</v>
      </c>
      <c r="U22" s="29">
        <f t="shared" si="10"/>
        <v>0.7994118492</v>
      </c>
      <c r="V22" s="87"/>
      <c r="W22" s="38" t="s">
        <v>805</v>
      </c>
      <c r="X22" s="29">
        <f t="shared" si="11"/>
        <v>0.7466133472</v>
      </c>
      <c r="Y22" s="73">
        <f t="shared" si="12"/>
        <v>1.08113407</v>
      </c>
      <c r="Z22" s="68"/>
      <c r="AA22" s="75" t="s">
        <v>806</v>
      </c>
      <c r="AB22" s="74">
        <f t="shared" si="13"/>
        <v>0.5915117481</v>
      </c>
      <c r="AC22" s="57"/>
      <c r="AD22" s="68"/>
      <c r="AE22" s="68"/>
      <c r="AF22" s="68"/>
      <c r="AG22" s="68"/>
      <c r="AH22" s="68"/>
      <c r="AI22" s="68"/>
    </row>
    <row r="23">
      <c r="B23" s="39" t="s">
        <v>807</v>
      </c>
      <c r="C23" s="29">
        <f>IFS('data clean'!C24&lt;=1, 1, 'data clean'!C24&lt;=25, 2, 'data clean'!C24&lt;=50, 3, 'data clean'!C24&lt;=75, 4, TRUE, 5)</f>
        <v>2</v>
      </c>
      <c r="D23" s="29">
        <f>IFS('data clean'!D24&lt;=1, 1, 'data clean'!D24&lt;=25, 2, 'data clean'!D24&lt;=50, 3, 'data clean'!D24&lt;=75, 4, TRUE, 5)</f>
        <v>2</v>
      </c>
      <c r="E23" s="29">
        <f>IFS('data clean'!E24&lt;=1, 1, 'data clean'!E24&lt;=25, 2, 'data clean'!E24&lt;=50, 3, 'data clean'!E24&lt;=75, 4, TRUE, 5)</f>
        <v>4</v>
      </c>
      <c r="F23" s="29">
        <f>IFS('data clean'!F24&lt;=1, 1, 'data clean'!F24&lt;=3, 2, 'data clean'!F24&lt;=5, 3, 'data clean'!F24&lt;=7, 4, TRUE, 5)</f>
        <v>3</v>
      </c>
      <c r="G23" s="29">
        <f>IFS('data clean'!G24&lt;=100, 5, 'data clean'!G24&lt;=200, 4, 'data clean'!G24&lt;=350, 3, 'data clean'!G24&lt;=500, 2, TRUE, 1)</f>
        <v>1</v>
      </c>
      <c r="I23" s="39" t="s">
        <v>808</v>
      </c>
      <c r="J23" s="29">
        <f t="shared" si="1"/>
        <v>0.1439631501</v>
      </c>
      <c r="K23" s="29">
        <f t="shared" si="2"/>
        <v>0.1547646465</v>
      </c>
      <c r="L23" s="29">
        <f t="shared" si="3"/>
        <v>0.2025478734</v>
      </c>
      <c r="M23" s="29">
        <f t="shared" si="4"/>
        <v>0.1528941574</v>
      </c>
      <c r="N23" s="29">
        <f t="shared" si="5"/>
        <v>0.03197647397</v>
      </c>
      <c r="P23" s="39" t="s">
        <v>809</v>
      </c>
      <c r="Q23" s="29">
        <f t="shared" si="6"/>
        <v>0.5758526006</v>
      </c>
      <c r="R23" s="29">
        <f t="shared" si="7"/>
        <v>0.4642939395</v>
      </c>
      <c r="S23" s="29">
        <f t="shared" si="8"/>
        <v>0.4050957468</v>
      </c>
      <c r="T23" s="29">
        <f t="shared" si="9"/>
        <v>0.6115766297</v>
      </c>
      <c r="U23" s="29">
        <f t="shared" si="10"/>
        <v>0.1598823698</v>
      </c>
      <c r="V23" s="87"/>
      <c r="W23" s="39" t="s">
        <v>810</v>
      </c>
      <c r="X23" s="29">
        <f t="shared" si="11"/>
        <v>0.9401906978</v>
      </c>
      <c r="Y23" s="73">
        <f t="shared" si="12"/>
        <v>0.5865604634</v>
      </c>
      <c r="Z23" s="68"/>
      <c r="AA23" s="76" t="s">
        <v>811</v>
      </c>
      <c r="AB23" s="74">
        <f t="shared" si="13"/>
        <v>0.3841886473</v>
      </c>
      <c r="AC23" s="57"/>
      <c r="AD23" s="68"/>
      <c r="AE23" s="68"/>
      <c r="AF23" s="68"/>
      <c r="AG23" s="68"/>
      <c r="AH23" s="68"/>
      <c r="AI23" s="68"/>
    </row>
    <row r="24">
      <c r="B24" s="39" t="s">
        <v>812</v>
      </c>
      <c r="C24" s="29">
        <f>IFS('data clean'!C25&lt;=1, 1, 'data clean'!C25&lt;=25, 2, 'data clean'!C25&lt;=50, 3, 'data clean'!C25&lt;=75, 4, TRUE, 5)</f>
        <v>2</v>
      </c>
      <c r="D24" s="29">
        <f>IFS('data clean'!D25&lt;=1, 1, 'data clean'!D25&lt;=25, 2, 'data clean'!D25&lt;=50, 3, 'data clean'!D25&lt;=75, 4, TRUE, 5)</f>
        <v>2</v>
      </c>
      <c r="E24" s="29">
        <f>IFS('data clean'!E25&lt;=1, 1, 'data clean'!E25&lt;=25, 2, 'data clean'!E25&lt;=50, 3, 'data clean'!E25&lt;=75, 4, TRUE, 5)</f>
        <v>4</v>
      </c>
      <c r="F24" s="29">
        <f>IFS('data clean'!F25&lt;=1, 1, 'data clean'!F25&lt;=3, 2, 'data clean'!F25&lt;=5, 3, 'data clean'!F25&lt;=7, 4, TRUE, 5)</f>
        <v>3</v>
      </c>
      <c r="G24" s="29">
        <f>IFS('data clean'!G25&lt;=100, 5, 'data clean'!G25&lt;=200, 4, 'data clean'!G25&lt;=350, 3, 'data clean'!G25&lt;=500, 2, TRUE, 1)</f>
        <v>2</v>
      </c>
      <c r="I24" s="39" t="s">
        <v>813</v>
      </c>
      <c r="J24" s="29">
        <f t="shared" si="1"/>
        <v>0.1439631501</v>
      </c>
      <c r="K24" s="29">
        <f t="shared" si="2"/>
        <v>0.1547646465</v>
      </c>
      <c r="L24" s="29">
        <f t="shared" si="3"/>
        <v>0.2025478734</v>
      </c>
      <c r="M24" s="29">
        <f t="shared" si="4"/>
        <v>0.1528941574</v>
      </c>
      <c r="N24" s="29">
        <f t="shared" si="5"/>
        <v>0.06395294794</v>
      </c>
      <c r="P24" s="39" t="s">
        <v>814</v>
      </c>
      <c r="Q24" s="29">
        <f t="shared" si="6"/>
        <v>0.5758526006</v>
      </c>
      <c r="R24" s="29">
        <f t="shared" si="7"/>
        <v>0.4642939395</v>
      </c>
      <c r="S24" s="29">
        <f t="shared" si="8"/>
        <v>0.4050957468</v>
      </c>
      <c r="T24" s="29">
        <f t="shared" si="9"/>
        <v>0.6115766297</v>
      </c>
      <c r="U24" s="29">
        <f t="shared" si="10"/>
        <v>0.3197647397</v>
      </c>
      <c r="V24" s="87"/>
      <c r="W24" s="39" t="s">
        <v>815</v>
      </c>
      <c r="X24" s="29">
        <f t="shared" si="11"/>
        <v>0.8396558479</v>
      </c>
      <c r="Y24" s="73">
        <f t="shared" si="12"/>
        <v>0.6079601545</v>
      </c>
      <c r="Z24" s="68"/>
      <c r="AA24" s="76" t="s">
        <v>816</v>
      </c>
      <c r="AB24" s="74">
        <f t="shared" si="13"/>
        <v>0.4199733586</v>
      </c>
      <c r="AC24" s="57"/>
      <c r="AD24" s="68"/>
      <c r="AE24" s="68"/>
      <c r="AF24" s="68"/>
      <c r="AG24" s="68"/>
      <c r="AH24" s="68"/>
      <c r="AI24" s="68"/>
    </row>
    <row r="25">
      <c r="B25" s="39" t="s">
        <v>817</v>
      </c>
      <c r="C25" s="29">
        <f>IFS('data clean'!C26&lt;=1, 1, 'data clean'!C26&lt;=25, 2, 'data clean'!C26&lt;=50, 3, 'data clean'!C26&lt;=75, 4, TRUE, 5)</f>
        <v>2</v>
      </c>
      <c r="D25" s="29">
        <f>IFS('data clean'!D26&lt;=1, 1, 'data clean'!D26&lt;=25, 2, 'data clean'!D26&lt;=50, 3, 'data clean'!D26&lt;=75, 4, TRUE, 5)</f>
        <v>1</v>
      </c>
      <c r="E25" s="29">
        <f>IFS('data clean'!E26&lt;=1, 1, 'data clean'!E26&lt;=25, 2, 'data clean'!E26&lt;=50, 3, 'data clean'!E26&lt;=75, 4, TRUE, 5)</f>
        <v>4</v>
      </c>
      <c r="F25" s="29">
        <f>IFS('data clean'!F26&lt;=1, 1, 'data clean'!F26&lt;=3, 2, 'data clean'!F26&lt;=5, 3, 'data clean'!F26&lt;=7, 4, TRUE, 5)</f>
        <v>2</v>
      </c>
      <c r="G25" s="29">
        <f>IFS('data clean'!G26&lt;=100, 5, 'data clean'!G26&lt;=200, 4, 'data clean'!G26&lt;=350, 3, 'data clean'!G26&lt;=500, 2, TRUE, 1)</f>
        <v>5</v>
      </c>
      <c r="I25" s="39" t="s">
        <v>818</v>
      </c>
      <c r="J25" s="29">
        <f t="shared" si="1"/>
        <v>0.1439631501</v>
      </c>
      <c r="K25" s="29">
        <f t="shared" si="2"/>
        <v>0.07738232325</v>
      </c>
      <c r="L25" s="29">
        <f t="shared" si="3"/>
        <v>0.2025478734</v>
      </c>
      <c r="M25" s="29">
        <f t="shared" si="4"/>
        <v>0.1019294383</v>
      </c>
      <c r="N25" s="29">
        <f t="shared" si="5"/>
        <v>0.1598823698</v>
      </c>
      <c r="P25" s="39" t="s">
        <v>819</v>
      </c>
      <c r="Q25" s="29">
        <f t="shared" si="6"/>
        <v>0.5758526006</v>
      </c>
      <c r="R25" s="29">
        <f t="shared" si="7"/>
        <v>0.2321469698</v>
      </c>
      <c r="S25" s="29">
        <f t="shared" si="8"/>
        <v>0.4050957468</v>
      </c>
      <c r="T25" s="29">
        <f t="shared" si="9"/>
        <v>0.4077177532</v>
      </c>
      <c r="U25" s="29">
        <f t="shared" si="10"/>
        <v>0.7994118492</v>
      </c>
      <c r="V25" s="87"/>
      <c r="W25" s="39" t="s">
        <v>820</v>
      </c>
      <c r="X25" s="29">
        <f t="shared" si="11"/>
        <v>0.9758144695</v>
      </c>
      <c r="Y25" s="73">
        <f t="shared" si="12"/>
        <v>0.7579469586</v>
      </c>
      <c r="Z25" s="68"/>
      <c r="AA25" s="76" t="s">
        <v>821</v>
      </c>
      <c r="AB25" s="74">
        <f t="shared" si="13"/>
        <v>0.4371691205</v>
      </c>
      <c r="AC25" s="57"/>
      <c r="AD25" s="68"/>
      <c r="AE25" s="68"/>
      <c r="AF25" s="68"/>
      <c r="AG25" s="68"/>
      <c r="AH25" s="68"/>
      <c r="AI25" s="68"/>
    </row>
    <row r="26">
      <c r="B26" s="39" t="s">
        <v>822</v>
      </c>
      <c r="C26" s="29">
        <f>IFS('data clean'!C27&lt;=1, 1, 'data clean'!C27&lt;=25, 2, 'data clean'!C27&lt;=50, 3, 'data clean'!C27&lt;=75, 4, TRUE, 5)</f>
        <v>1</v>
      </c>
      <c r="D26" s="29">
        <f>IFS('data clean'!D27&lt;=1, 1, 'data clean'!D27&lt;=25, 2, 'data clean'!D27&lt;=50, 3, 'data clean'!D27&lt;=75, 4, TRUE, 5)</f>
        <v>1</v>
      </c>
      <c r="E26" s="29">
        <f>IFS('data clean'!E27&lt;=1, 1, 'data clean'!E27&lt;=25, 2, 'data clean'!E27&lt;=50, 3, 'data clean'!E27&lt;=75, 4, TRUE, 5)</f>
        <v>2</v>
      </c>
      <c r="F26" s="29">
        <f>IFS('data clean'!F27&lt;=1, 1, 'data clean'!F27&lt;=3, 2, 'data clean'!F27&lt;=5, 3, 'data clean'!F27&lt;=7, 4, TRUE, 5)</f>
        <v>1</v>
      </c>
      <c r="G26" s="29">
        <f>IFS('data clean'!G27&lt;=100, 5, 'data clean'!G27&lt;=200, 4, 'data clean'!G27&lt;=350, 3, 'data clean'!G27&lt;=500, 2, TRUE, 1)</f>
        <v>5</v>
      </c>
      <c r="I26" s="39" t="s">
        <v>823</v>
      </c>
      <c r="J26" s="29">
        <f t="shared" si="1"/>
        <v>0.07198157507</v>
      </c>
      <c r="K26" s="29">
        <f t="shared" si="2"/>
        <v>0.07738232325</v>
      </c>
      <c r="L26" s="29">
        <f t="shared" si="3"/>
        <v>0.1012739367</v>
      </c>
      <c r="M26" s="29">
        <f t="shared" si="4"/>
        <v>0.05096471914</v>
      </c>
      <c r="N26" s="29">
        <f t="shared" si="5"/>
        <v>0.1598823698</v>
      </c>
      <c r="P26" s="39" t="s">
        <v>824</v>
      </c>
      <c r="Q26" s="29">
        <f t="shared" si="6"/>
        <v>0.2879263003</v>
      </c>
      <c r="R26" s="29">
        <f t="shared" si="7"/>
        <v>0.2321469698</v>
      </c>
      <c r="S26" s="29">
        <f t="shared" si="8"/>
        <v>0.2025478734</v>
      </c>
      <c r="T26" s="29">
        <f t="shared" si="9"/>
        <v>0.2038588766</v>
      </c>
      <c r="U26" s="29">
        <f t="shared" si="10"/>
        <v>0.7994118492</v>
      </c>
      <c r="V26" s="87"/>
      <c r="W26" s="39" t="s">
        <v>825</v>
      </c>
      <c r="X26" s="29">
        <f t="shared" si="11"/>
        <v>1.254543309</v>
      </c>
      <c r="Y26" s="73">
        <f t="shared" si="12"/>
        <v>0.6395294794</v>
      </c>
      <c r="Z26" s="68"/>
      <c r="AA26" s="76" t="s">
        <v>826</v>
      </c>
      <c r="AB26" s="74">
        <f t="shared" si="13"/>
        <v>0.3376477838</v>
      </c>
      <c r="AC26" s="57"/>
      <c r="AD26" s="68"/>
      <c r="AE26" s="68"/>
      <c r="AF26" s="68"/>
      <c r="AG26" s="68"/>
      <c r="AH26" s="68"/>
      <c r="AI26" s="68"/>
    </row>
    <row r="27">
      <c r="B27" s="38" t="s">
        <v>827</v>
      </c>
      <c r="C27" s="29">
        <f>IFS('data clean'!C28&lt;=1, 1, 'data clean'!C28&lt;=25, 2, 'data clean'!C28&lt;=50, 3, 'data clean'!C28&lt;=75, 4, TRUE, 5)</f>
        <v>2</v>
      </c>
      <c r="D27" s="29">
        <f>IFS('data clean'!D28&lt;=1, 1, 'data clean'!D28&lt;=25, 2, 'data clean'!D28&lt;=50, 3, 'data clean'!D28&lt;=75, 4, TRUE, 5)</f>
        <v>1</v>
      </c>
      <c r="E27" s="29">
        <f>IFS('data clean'!E28&lt;=1, 1, 'data clean'!E28&lt;=25, 2, 'data clean'!E28&lt;=50, 3, 'data clean'!E28&lt;=75, 4, TRUE, 5)</f>
        <v>2</v>
      </c>
      <c r="F27" s="29">
        <f>IFS('data clean'!F28&lt;=1, 1, 'data clean'!F28&lt;=3, 2, 'data clean'!F28&lt;=5, 3, 'data clean'!F28&lt;=7, 4, TRUE, 5)</f>
        <v>2</v>
      </c>
      <c r="G27" s="29">
        <f>IFS('data clean'!G28&lt;=100, 5, 'data clean'!G28&lt;=200, 4, 'data clean'!G28&lt;=350, 3, 'data clean'!G28&lt;=500, 2, TRUE, 1)</f>
        <v>2</v>
      </c>
      <c r="I27" s="38" t="s">
        <v>828</v>
      </c>
      <c r="J27" s="29">
        <f t="shared" si="1"/>
        <v>0.1439631501</v>
      </c>
      <c r="K27" s="29">
        <f t="shared" si="2"/>
        <v>0.07738232325</v>
      </c>
      <c r="L27" s="29">
        <f t="shared" si="3"/>
        <v>0.1012739367</v>
      </c>
      <c r="M27" s="29">
        <f t="shared" si="4"/>
        <v>0.1019294383</v>
      </c>
      <c r="N27" s="29">
        <f t="shared" si="5"/>
        <v>0.06395294794</v>
      </c>
      <c r="P27" s="38" t="s">
        <v>829</v>
      </c>
      <c r="Q27" s="29">
        <f t="shared" si="6"/>
        <v>0.5758526006</v>
      </c>
      <c r="R27" s="29">
        <f t="shared" si="7"/>
        <v>0.2321469698</v>
      </c>
      <c r="S27" s="29">
        <f t="shared" si="8"/>
        <v>0.2025478734</v>
      </c>
      <c r="T27" s="29">
        <f t="shared" si="9"/>
        <v>0.4077177532</v>
      </c>
      <c r="U27" s="29">
        <f t="shared" si="10"/>
        <v>0.3197647397</v>
      </c>
      <c r="V27" s="87"/>
      <c r="W27" s="38" t="s">
        <v>830</v>
      </c>
      <c r="X27" s="29">
        <f t="shared" si="11"/>
        <v>1.124422745</v>
      </c>
      <c r="Y27" s="73">
        <f t="shared" si="12"/>
        <v>0.3873272107</v>
      </c>
      <c r="Z27" s="68"/>
      <c r="AA27" s="75" t="s">
        <v>831</v>
      </c>
      <c r="AB27" s="74">
        <f t="shared" si="13"/>
        <v>0.2562111605</v>
      </c>
      <c r="AC27" s="57"/>
      <c r="AD27" s="68"/>
      <c r="AE27" s="68"/>
      <c r="AF27" s="68"/>
      <c r="AG27" s="68"/>
      <c r="AH27" s="68"/>
      <c r="AI27" s="68"/>
    </row>
    <row r="28">
      <c r="B28" s="39" t="s">
        <v>832</v>
      </c>
      <c r="C28" s="29">
        <f>IFS('data clean'!C29&lt;=1, 1, 'data clean'!C29&lt;=25, 2, 'data clean'!C29&lt;=50, 3, 'data clean'!C29&lt;=75, 4, TRUE, 5)</f>
        <v>3</v>
      </c>
      <c r="D28" s="29">
        <f>IFS('data clean'!D29&lt;=1, 1, 'data clean'!D29&lt;=25, 2, 'data clean'!D29&lt;=50, 3, 'data clean'!D29&lt;=75, 4, TRUE, 5)</f>
        <v>3</v>
      </c>
      <c r="E28" s="29">
        <f>IFS('data clean'!E29&lt;=1, 1, 'data clean'!E29&lt;=25, 2, 'data clean'!E29&lt;=50, 3, 'data clean'!E29&lt;=75, 4, TRUE, 5)</f>
        <v>2</v>
      </c>
      <c r="F28" s="29">
        <f>IFS('data clean'!F29&lt;=1, 1, 'data clean'!F29&lt;=3, 2, 'data clean'!F29&lt;=5, 3, 'data clean'!F29&lt;=7, 4, TRUE, 5)</f>
        <v>5</v>
      </c>
      <c r="G28" s="29">
        <f>IFS('data clean'!G29&lt;=100, 5, 'data clean'!G29&lt;=200, 4, 'data clean'!G29&lt;=350, 3, 'data clean'!G29&lt;=500, 2, TRUE, 1)</f>
        <v>5</v>
      </c>
      <c r="I28" s="39" t="s">
        <v>833</v>
      </c>
      <c r="J28" s="29">
        <f t="shared" si="1"/>
        <v>0.2159447252</v>
      </c>
      <c r="K28" s="29">
        <f t="shared" si="2"/>
        <v>0.2321469698</v>
      </c>
      <c r="L28" s="29">
        <f t="shared" si="3"/>
        <v>0.1012739367</v>
      </c>
      <c r="M28" s="29">
        <f t="shared" si="4"/>
        <v>0.2548235957</v>
      </c>
      <c r="N28" s="29">
        <f t="shared" si="5"/>
        <v>0.1598823698</v>
      </c>
      <c r="P28" s="39" t="s">
        <v>834</v>
      </c>
      <c r="Q28" s="29">
        <f t="shared" si="6"/>
        <v>0.8637789009</v>
      </c>
      <c r="R28" s="29">
        <f t="shared" si="7"/>
        <v>0.6964409093</v>
      </c>
      <c r="S28" s="29">
        <f t="shared" si="8"/>
        <v>0.2025478734</v>
      </c>
      <c r="T28" s="29">
        <f t="shared" si="9"/>
        <v>1.019294383</v>
      </c>
      <c r="U28" s="29">
        <f t="shared" si="10"/>
        <v>0.7994118492</v>
      </c>
      <c r="V28" s="87"/>
      <c r="W28" s="39" t="s">
        <v>835</v>
      </c>
      <c r="X28" s="29">
        <f t="shared" si="11"/>
        <v>0.3823609654</v>
      </c>
      <c r="Y28" s="73">
        <f t="shared" si="12"/>
        <v>1.273227434</v>
      </c>
      <c r="Z28" s="68"/>
      <c r="AA28" s="76" t="s">
        <v>836</v>
      </c>
      <c r="AB28" s="74">
        <f t="shared" si="13"/>
        <v>0.769048294</v>
      </c>
      <c r="AC28" s="57"/>
      <c r="AD28" s="68"/>
      <c r="AE28" s="68"/>
      <c r="AF28" s="68"/>
      <c r="AG28" s="68"/>
      <c r="AH28" s="68"/>
      <c r="AI28" s="68"/>
    </row>
    <row r="29">
      <c r="B29" s="39" t="s">
        <v>837</v>
      </c>
      <c r="C29" s="29">
        <f>IFS('data clean'!C30&lt;=1, 1, 'data clean'!C30&lt;=25, 2, 'data clean'!C30&lt;=50, 3, 'data clean'!C30&lt;=75, 4, TRUE, 5)</f>
        <v>2</v>
      </c>
      <c r="D29" s="29">
        <f>IFS('data clean'!D30&lt;=1, 1, 'data clean'!D30&lt;=25, 2, 'data clean'!D30&lt;=50, 3, 'data clean'!D30&lt;=75, 4, TRUE, 5)</f>
        <v>2</v>
      </c>
      <c r="E29" s="29">
        <f>IFS('data clean'!E30&lt;=1, 1, 'data clean'!E30&lt;=25, 2, 'data clean'!E30&lt;=50, 3, 'data clean'!E30&lt;=75, 4, TRUE, 5)</f>
        <v>2</v>
      </c>
      <c r="F29" s="29">
        <f>IFS('data clean'!F30&lt;=1, 1, 'data clean'!F30&lt;=3, 2, 'data clean'!F30&lt;=5, 3, 'data clean'!F30&lt;=7, 4, TRUE, 5)</f>
        <v>2</v>
      </c>
      <c r="G29" s="29">
        <f>IFS('data clean'!G30&lt;=100, 5, 'data clean'!G30&lt;=200, 4, 'data clean'!G30&lt;=350, 3, 'data clean'!G30&lt;=500, 2, TRUE, 1)</f>
        <v>4</v>
      </c>
      <c r="I29" s="39" t="s">
        <v>838</v>
      </c>
      <c r="J29" s="29">
        <f t="shared" si="1"/>
        <v>0.1439631501</v>
      </c>
      <c r="K29" s="29">
        <f t="shared" si="2"/>
        <v>0.1547646465</v>
      </c>
      <c r="L29" s="29">
        <f t="shared" si="3"/>
        <v>0.1012739367</v>
      </c>
      <c r="M29" s="29">
        <f t="shared" si="4"/>
        <v>0.1019294383</v>
      </c>
      <c r="N29" s="29">
        <f t="shared" si="5"/>
        <v>0.1279058959</v>
      </c>
      <c r="P29" s="39" t="s">
        <v>839</v>
      </c>
      <c r="Q29" s="29">
        <f t="shared" si="6"/>
        <v>0.5758526006</v>
      </c>
      <c r="R29" s="29">
        <f t="shared" si="7"/>
        <v>0.4642939395</v>
      </c>
      <c r="S29" s="29">
        <f t="shared" si="8"/>
        <v>0.2025478734</v>
      </c>
      <c r="T29" s="29">
        <f t="shared" si="9"/>
        <v>0.4077177532</v>
      </c>
      <c r="U29" s="29">
        <f t="shared" si="10"/>
        <v>0.6395294794</v>
      </c>
      <c r="V29" s="87"/>
      <c r="W29" s="39" t="s">
        <v>840</v>
      </c>
      <c r="X29" s="29">
        <f t="shared" si="11"/>
        <v>0.889025565</v>
      </c>
      <c r="Y29" s="73">
        <f t="shared" si="12"/>
        <v>0.6390724225</v>
      </c>
      <c r="Z29" s="68"/>
      <c r="AA29" s="76" t="s">
        <v>841</v>
      </c>
      <c r="AB29" s="74">
        <f t="shared" si="13"/>
        <v>0.418214295</v>
      </c>
      <c r="AC29" s="57"/>
      <c r="AD29" s="68"/>
      <c r="AE29" s="68"/>
      <c r="AF29" s="68"/>
      <c r="AG29" s="68"/>
      <c r="AH29" s="68"/>
      <c r="AI29" s="68"/>
    </row>
    <row r="30">
      <c r="B30" s="39" t="s">
        <v>842</v>
      </c>
      <c r="C30" s="29">
        <f>IFS('data clean'!C31&lt;=1, 1, 'data clean'!C31&lt;=25, 2, 'data clean'!C31&lt;=50, 3, 'data clean'!C31&lt;=75, 4, TRUE, 5)</f>
        <v>2</v>
      </c>
      <c r="D30" s="29">
        <f>IFS('data clean'!D31&lt;=1, 1, 'data clean'!D31&lt;=25, 2, 'data clean'!D31&lt;=50, 3, 'data clean'!D31&lt;=75, 4, TRUE, 5)</f>
        <v>1</v>
      </c>
      <c r="E30" s="29">
        <f>IFS('data clean'!E31&lt;=1, 1, 'data clean'!E31&lt;=25, 2, 'data clean'!E31&lt;=50, 3, 'data clean'!E31&lt;=75, 4, TRUE, 5)</f>
        <v>3</v>
      </c>
      <c r="F30" s="29">
        <f>IFS('data clean'!F31&lt;=1, 1, 'data clean'!F31&lt;=3, 2, 'data clean'!F31&lt;=5, 3, 'data clean'!F31&lt;=7, 4, TRUE, 5)</f>
        <v>2</v>
      </c>
      <c r="G30" s="29">
        <f>IFS('data clean'!G31&lt;=100, 5, 'data clean'!G31&lt;=200, 4, 'data clean'!G31&lt;=350, 3, 'data clean'!G31&lt;=500, 2, TRUE, 1)</f>
        <v>5</v>
      </c>
      <c r="I30" s="39" t="s">
        <v>843</v>
      </c>
      <c r="J30" s="29">
        <f t="shared" si="1"/>
        <v>0.1439631501</v>
      </c>
      <c r="K30" s="29">
        <f t="shared" si="2"/>
        <v>0.07738232325</v>
      </c>
      <c r="L30" s="29">
        <f t="shared" si="3"/>
        <v>0.1519109051</v>
      </c>
      <c r="M30" s="29">
        <f t="shared" si="4"/>
        <v>0.1019294383</v>
      </c>
      <c r="N30" s="29">
        <f t="shared" si="5"/>
        <v>0.1598823698</v>
      </c>
      <c r="P30" s="39" t="s">
        <v>844</v>
      </c>
      <c r="Q30" s="29">
        <f t="shared" si="6"/>
        <v>0.5758526006</v>
      </c>
      <c r="R30" s="29">
        <f t="shared" si="7"/>
        <v>0.2321469698</v>
      </c>
      <c r="S30" s="29">
        <f t="shared" si="8"/>
        <v>0.3038218101</v>
      </c>
      <c r="T30" s="29">
        <f t="shared" si="9"/>
        <v>0.4077177532</v>
      </c>
      <c r="U30" s="29">
        <f t="shared" si="10"/>
        <v>0.7994118492</v>
      </c>
      <c r="V30" s="87"/>
      <c r="W30" s="39" t="s">
        <v>845</v>
      </c>
      <c r="X30" s="29">
        <f t="shared" si="11"/>
        <v>0.9914550467</v>
      </c>
      <c r="Y30" s="73">
        <f t="shared" si="12"/>
        <v>0.7373698944</v>
      </c>
      <c r="Z30" s="68"/>
      <c r="AA30" s="39" t="s">
        <v>846</v>
      </c>
      <c r="AB30" s="74">
        <f t="shared" si="13"/>
        <v>0.4265150721</v>
      </c>
      <c r="AC30" s="57"/>
      <c r="AD30" s="68"/>
      <c r="AE30" s="68"/>
      <c r="AF30" s="68"/>
      <c r="AG30" s="68"/>
      <c r="AH30" s="68"/>
      <c r="AI30" s="68"/>
    </row>
    <row r="31">
      <c r="B31" s="38" t="s">
        <v>847</v>
      </c>
      <c r="C31" s="29">
        <f>IFS('data clean'!C32&lt;=1, 1, 'data clean'!C32&lt;=25, 2, 'data clean'!C32&lt;=50, 3, 'data clean'!C32&lt;=75, 4, TRUE, 5)</f>
        <v>2</v>
      </c>
      <c r="D31" s="29">
        <f>IFS('data clean'!D32&lt;=1, 1, 'data clean'!D32&lt;=25, 2, 'data clean'!D32&lt;=50, 3, 'data clean'!D32&lt;=75, 4, TRUE, 5)</f>
        <v>1</v>
      </c>
      <c r="E31" s="29">
        <f>IFS('data clean'!E32&lt;=1, 1, 'data clean'!E32&lt;=25, 2, 'data clean'!E32&lt;=50, 3, 'data clean'!E32&lt;=75, 4, TRUE, 5)</f>
        <v>2</v>
      </c>
      <c r="F31" s="29">
        <f>IFS('data clean'!F32&lt;=1, 1, 'data clean'!F32&lt;=3, 2, 'data clean'!F32&lt;=5, 3, 'data clean'!F32&lt;=7, 4, TRUE, 5)</f>
        <v>3</v>
      </c>
      <c r="G31" s="29">
        <f>IFS('data clean'!G32&lt;=100, 5, 'data clean'!G32&lt;=200, 4, 'data clean'!G32&lt;=350, 3, 'data clean'!G32&lt;=500, 2, TRUE, 1)</f>
        <v>5</v>
      </c>
      <c r="I31" s="38" t="s">
        <v>848</v>
      </c>
      <c r="J31" s="29">
        <f t="shared" si="1"/>
        <v>0.1439631501</v>
      </c>
      <c r="K31" s="29">
        <f t="shared" si="2"/>
        <v>0.07738232325</v>
      </c>
      <c r="L31" s="29">
        <f t="shared" si="3"/>
        <v>0.1012739367</v>
      </c>
      <c r="M31" s="29">
        <f t="shared" si="4"/>
        <v>0.1528941574</v>
      </c>
      <c r="N31" s="29">
        <f t="shared" si="5"/>
        <v>0.1598823698</v>
      </c>
      <c r="P31" s="38" t="s">
        <v>849</v>
      </c>
      <c r="Q31" s="29">
        <f t="shared" si="6"/>
        <v>0.5758526006</v>
      </c>
      <c r="R31" s="29">
        <f t="shared" si="7"/>
        <v>0.2321469698</v>
      </c>
      <c r="S31" s="29">
        <f t="shared" si="8"/>
        <v>0.2025478734</v>
      </c>
      <c r="T31" s="29">
        <f t="shared" si="9"/>
        <v>0.6115766297</v>
      </c>
      <c r="U31" s="29">
        <f t="shared" si="10"/>
        <v>0.7994118492</v>
      </c>
      <c r="V31" s="87"/>
      <c r="W31" s="38" t="s">
        <v>850</v>
      </c>
      <c r="X31" s="29">
        <f t="shared" si="11"/>
        <v>0.9091055786</v>
      </c>
      <c r="Y31" s="73">
        <f t="shared" si="12"/>
        <v>0.8112541375</v>
      </c>
      <c r="Z31" s="68"/>
      <c r="AA31" s="38" t="s">
        <v>851</v>
      </c>
      <c r="AB31" s="74">
        <f t="shared" si="13"/>
        <v>0.4715607613</v>
      </c>
      <c r="AC31" s="57"/>
      <c r="AD31" s="68"/>
      <c r="AE31" s="68"/>
      <c r="AF31" s="68"/>
      <c r="AG31" s="68"/>
      <c r="AH31" s="68"/>
      <c r="AI31" s="68"/>
    </row>
    <row r="32">
      <c r="B32" s="39" t="s">
        <v>852</v>
      </c>
      <c r="C32" s="29">
        <f>IFS('data clean'!C33&lt;=1, 1, 'data clean'!C33&lt;=25, 2, 'data clean'!C33&lt;=50, 3, 'data clean'!C33&lt;=75, 4, TRUE, 5)</f>
        <v>2</v>
      </c>
      <c r="D32" s="29">
        <f>IFS('data clean'!D33&lt;=1, 1, 'data clean'!D33&lt;=25, 2, 'data clean'!D33&lt;=50, 3, 'data clean'!D33&lt;=75, 4, TRUE, 5)</f>
        <v>4</v>
      </c>
      <c r="E32" s="29">
        <f>IFS('data clean'!E33&lt;=1, 1, 'data clean'!E33&lt;=25, 2, 'data clean'!E33&lt;=50, 3, 'data clean'!E33&lt;=75, 4, TRUE, 5)</f>
        <v>2</v>
      </c>
      <c r="F32" s="29">
        <f>IFS('data clean'!F33&lt;=1, 1, 'data clean'!F33&lt;=3, 2, 'data clean'!F33&lt;=5, 3, 'data clean'!F33&lt;=7, 4, TRUE, 5)</f>
        <v>2</v>
      </c>
      <c r="G32" s="29">
        <f>IFS('data clean'!G33&lt;=100, 5, 'data clean'!G33&lt;=200, 4, 'data clean'!G33&lt;=350, 3, 'data clean'!G33&lt;=500, 2, TRUE, 1)</f>
        <v>5</v>
      </c>
      <c r="I32" s="39" t="s">
        <v>853</v>
      </c>
      <c r="J32" s="29">
        <f t="shared" si="1"/>
        <v>0.1439631501</v>
      </c>
      <c r="K32" s="29">
        <f t="shared" si="2"/>
        <v>0.309529293</v>
      </c>
      <c r="L32" s="29">
        <f t="shared" si="3"/>
        <v>0.1012739367</v>
      </c>
      <c r="M32" s="29">
        <f t="shared" si="4"/>
        <v>0.1019294383</v>
      </c>
      <c r="N32" s="29">
        <f t="shared" si="5"/>
        <v>0.1598823698</v>
      </c>
      <c r="P32" s="39" t="s">
        <v>854</v>
      </c>
      <c r="Q32" s="29">
        <f t="shared" si="6"/>
        <v>0.5758526006</v>
      </c>
      <c r="R32" s="29">
        <f t="shared" si="7"/>
        <v>0.928587879</v>
      </c>
      <c r="S32" s="29">
        <f t="shared" si="8"/>
        <v>0.2025478734</v>
      </c>
      <c r="T32" s="29">
        <f t="shared" si="9"/>
        <v>0.4077177532</v>
      </c>
      <c r="U32" s="29">
        <f t="shared" si="10"/>
        <v>0.7994118492</v>
      </c>
      <c r="V32" s="87"/>
      <c r="W32" s="39" t="s">
        <v>855</v>
      </c>
      <c r="X32" s="29">
        <f t="shared" si="11"/>
        <v>0.7411040553</v>
      </c>
      <c r="Y32" s="73">
        <f t="shared" si="12"/>
        <v>1.009201611</v>
      </c>
      <c r="Z32" s="68"/>
      <c r="AA32" s="39" t="s">
        <v>856</v>
      </c>
      <c r="AB32" s="74">
        <f t="shared" si="13"/>
        <v>0.5765859246</v>
      </c>
      <c r="AC32" s="57"/>
      <c r="AD32" s="68"/>
      <c r="AE32" s="68"/>
      <c r="AF32" s="68"/>
      <c r="AG32" s="68"/>
      <c r="AH32" s="68"/>
      <c r="AI32" s="68"/>
    </row>
    <row r="33">
      <c r="B33" s="39" t="s">
        <v>857</v>
      </c>
      <c r="C33" s="29">
        <f>IFS('data clean'!C34&lt;=1, 1, 'data clean'!C34&lt;=25, 2, 'data clean'!C34&lt;=50, 3, 'data clean'!C34&lt;=75, 4, TRUE, 5)</f>
        <v>2</v>
      </c>
      <c r="D33" s="29">
        <f>IFS('data clean'!D34&lt;=1, 1, 'data clean'!D34&lt;=25, 2, 'data clean'!D34&lt;=50, 3, 'data clean'!D34&lt;=75, 4, TRUE, 5)</f>
        <v>3</v>
      </c>
      <c r="E33" s="29">
        <f>IFS('data clean'!E34&lt;=1, 1, 'data clean'!E34&lt;=25, 2, 'data clean'!E34&lt;=50, 3, 'data clean'!E34&lt;=75, 4, TRUE, 5)</f>
        <v>2</v>
      </c>
      <c r="F33" s="29">
        <f>IFS('data clean'!F34&lt;=1, 1, 'data clean'!F34&lt;=3, 2, 'data clean'!F34&lt;=5, 3, 'data clean'!F34&lt;=7, 4, TRUE, 5)</f>
        <v>1</v>
      </c>
      <c r="G33" s="29">
        <f>IFS('data clean'!G34&lt;=100, 5, 'data clean'!G34&lt;=200, 4, 'data clean'!G34&lt;=350, 3, 'data clean'!G34&lt;=500, 2, TRUE, 1)</f>
        <v>5</v>
      </c>
      <c r="I33" s="39" t="s">
        <v>858</v>
      </c>
      <c r="J33" s="29">
        <f t="shared" si="1"/>
        <v>0.1439631501</v>
      </c>
      <c r="K33" s="29">
        <f t="shared" si="2"/>
        <v>0.2321469698</v>
      </c>
      <c r="L33" s="29">
        <f t="shared" si="3"/>
        <v>0.1012739367</v>
      </c>
      <c r="M33" s="29">
        <f t="shared" si="4"/>
        <v>0.05096471914</v>
      </c>
      <c r="N33" s="29">
        <f t="shared" si="5"/>
        <v>0.1598823698</v>
      </c>
      <c r="P33" s="39" t="s">
        <v>859</v>
      </c>
      <c r="Q33" s="29">
        <f t="shared" si="6"/>
        <v>0.5758526006</v>
      </c>
      <c r="R33" s="29">
        <f t="shared" si="7"/>
        <v>0.6964409093</v>
      </c>
      <c r="S33" s="29">
        <f t="shared" si="8"/>
        <v>0.2025478734</v>
      </c>
      <c r="T33" s="29">
        <f t="shared" si="9"/>
        <v>0.2038588766</v>
      </c>
      <c r="U33" s="29">
        <f t="shared" si="10"/>
        <v>0.7994118492</v>
      </c>
      <c r="V33" s="87"/>
      <c r="W33" s="39" t="s">
        <v>860</v>
      </c>
      <c r="X33" s="29">
        <f t="shared" si="11"/>
        <v>0.9455350481</v>
      </c>
      <c r="Y33" s="73">
        <f t="shared" si="12"/>
        <v>0.8411113908</v>
      </c>
      <c r="Z33" s="68"/>
      <c r="AA33" s="39" t="s">
        <v>861</v>
      </c>
      <c r="AB33" s="74">
        <f t="shared" si="13"/>
        <v>0.4707766307</v>
      </c>
      <c r="AC33" s="57"/>
      <c r="AD33" s="68"/>
      <c r="AE33" s="68"/>
      <c r="AF33" s="68"/>
      <c r="AG33" s="68"/>
      <c r="AH33" s="68"/>
      <c r="AI33" s="68"/>
    </row>
    <row r="34">
      <c r="B34" s="39" t="s">
        <v>862</v>
      </c>
      <c r="C34" s="29">
        <f>IFS('data clean'!C35&lt;=1, 1, 'data clean'!C35&lt;=25, 2, 'data clean'!C35&lt;=50, 3, 'data clean'!C35&lt;=75, 4, TRUE, 5)</f>
        <v>2</v>
      </c>
      <c r="D34" s="29">
        <f>IFS('data clean'!D35&lt;=1, 1, 'data clean'!D35&lt;=25, 2, 'data clean'!D35&lt;=50, 3, 'data clean'!D35&lt;=75, 4, TRUE, 5)</f>
        <v>2</v>
      </c>
      <c r="E34" s="29">
        <f>IFS('data clean'!E35&lt;=1, 1, 'data clean'!E35&lt;=25, 2, 'data clean'!E35&lt;=50, 3, 'data clean'!E35&lt;=75, 4, TRUE, 5)</f>
        <v>4</v>
      </c>
      <c r="F34" s="29">
        <f>IFS('data clean'!F35&lt;=1, 1, 'data clean'!F35&lt;=3, 2, 'data clean'!F35&lt;=5, 3, 'data clean'!F35&lt;=7, 4, TRUE, 5)</f>
        <v>1</v>
      </c>
      <c r="G34" s="29">
        <f>IFS('data clean'!G35&lt;=100, 5, 'data clean'!G35&lt;=200, 4, 'data clean'!G35&lt;=350, 3, 'data clean'!G35&lt;=500, 2, TRUE, 1)</f>
        <v>5</v>
      </c>
      <c r="I34" s="39" t="s">
        <v>863</v>
      </c>
      <c r="J34" s="29">
        <f t="shared" si="1"/>
        <v>0.1439631501</v>
      </c>
      <c r="K34" s="29">
        <f t="shared" si="2"/>
        <v>0.1547646465</v>
      </c>
      <c r="L34" s="29">
        <f t="shared" si="3"/>
        <v>0.2025478734</v>
      </c>
      <c r="M34" s="29">
        <f t="shared" si="4"/>
        <v>0.05096471914</v>
      </c>
      <c r="N34" s="29">
        <f t="shared" si="5"/>
        <v>0.1598823698</v>
      </c>
      <c r="P34" s="39" t="s">
        <v>864</v>
      </c>
      <c r="Q34" s="29">
        <f t="shared" si="6"/>
        <v>0.5758526006</v>
      </c>
      <c r="R34" s="29">
        <f t="shared" si="7"/>
        <v>0.4642939395</v>
      </c>
      <c r="S34" s="29">
        <f t="shared" si="8"/>
        <v>0.4050957468</v>
      </c>
      <c r="T34" s="29">
        <f t="shared" si="9"/>
        <v>0.2038588766</v>
      </c>
      <c r="U34" s="29">
        <f t="shared" si="10"/>
        <v>0.7994118492</v>
      </c>
      <c r="V34" s="87"/>
      <c r="W34" s="39" t="s">
        <v>865</v>
      </c>
      <c r="X34" s="29">
        <f t="shared" si="11"/>
        <v>0.9867430729</v>
      </c>
      <c r="Y34" s="73">
        <f t="shared" si="12"/>
        <v>0.7660400551</v>
      </c>
      <c r="Z34" s="68"/>
      <c r="AA34" s="39" t="s">
        <v>866</v>
      </c>
      <c r="AB34" s="74">
        <f t="shared" si="13"/>
        <v>0.4370421205</v>
      </c>
      <c r="AC34" s="57"/>
      <c r="AD34" s="68"/>
      <c r="AE34" s="68"/>
      <c r="AF34" s="68"/>
      <c r="AG34" s="68"/>
      <c r="AH34" s="68"/>
      <c r="AI34" s="68"/>
    </row>
    <row r="35">
      <c r="B35" s="39" t="s">
        <v>867</v>
      </c>
      <c r="C35" s="29">
        <f>IFS('data clean'!C36&lt;=1, 1, 'data clean'!C36&lt;=25, 2, 'data clean'!C36&lt;=50, 3, 'data clean'!C36&lt;=75, 4, TRUE, 5)</f>
        <v>2</v>
      </c>
      <c r="D35" s="29">
        <f>IFS('data clean'!D36&lt;=1, 1, 'data clean'!D36&lt;=25, 2, 'data clean'!D36&lt;=50, 3, 'data clean'!D36&lt;=75, 4, TRUE, 5)</f>
        <v>2</v>
      </c>
      <c r="E35" s="29">
        <f>IFS('data clean'!E36&lt;=1, 1, 'data clean'!E36&lt;=25, 2, 'data clean'!E36&lt;=50, 3, 'data clean'!E36&lt;=75, 4, TRUE, 5)</f>
        <v>4</v>
      </c>
      <c r="F35" s="29">
        <f>IFS('data clean'!F36&lt;=1, 1, 'data clean'!F36&lt;=3, 2, 'data clean'!F36&lt;=5, 3, 'data clean'!F36&lt;=7, 4, TRUE, 5)</f>
        <v>1</v>
      </c>
      <c r="G35" s="29">
        <f>IFS('data clean'!G36&lt;=100, 5, 'data clean'!G36&lt;=200, 4, 'data clean'!G36&lt;=350, 3, 'data clean'!G36&lt;=500, 2, TRUE, 1)</f>
        <v>5</v>
      </c>
      <c r="I35" s="39" t="s">
        <v>868</v>
      </c>
      <c r="J35" s="29">
        <f t="shared" si="1"/>
        <v>0.1439631501</v>
      </c>
      <c r="K35" s="29">
        <f t="shared" si="2"/>
        <v>0.1547646465</v>
      </c>
      <c r="L35" s="29">
        <f t="shared" si="3"/>
        <v>0.2025478734</v>
      </c>
      <c r="M35" s="29">
        <f t="shared" si="4"/>
        <v>0.05096471914</v>
      </c>
      <c r="N35" s="29">
        <f t="shared" si="5"/>
        <v>0.1598823698</v>
      </c>
      <c r="P35" s="39" t="s">
        <v>869</v>
      </c>
      <c r="Q35" s="29">
        <f t="shared" si="6"/>
        <v>0.5758526006</v>
      </c>
      <c r="R35" s="29">
        <f t="shared" si="7"/>
        <v>0.4642939395</v>
      </c>
      <c r="S35" s="29">
        <f t="shared" si="8"/>
        <v>0.4050957468</v>
      </c>
      <c r="T35" s="29">
        <f t="shared" si="9"/>
        <v>0.2038588766</v>
      </c>
      <c r="U35" s="29">
        <f t="shared" si="10"/>
        <v>0.7994118492</v>
      </c>
      <c r="V35" s="87"/>
      <c r="W35" s="39" t="s">
        <v>870</v>
      </c>
      <c r="X35" s="29">
        <f t="shared" si="11"/>
        <v>0.9867430729</v>
      </c>
      <c r="Y35" s="73">
        <f t="shared" si="12"/>
        <v>0.7660400551</v>
      </c>
      <c r="Z35" s="68"/>
      <c r="AA35" s="39" t="s">
        <v>871</v>
      </c>
      <c r="AB35" s="74">
        <f t="shared" si="13"/>
        <v>0.4370421205</v>
      </c>
      <c r="AC35" s="57"/>
      <c r="AD35" s="68"/>
      <c r="AE35" s="68"/>
      <c r="AF35" s="68"/>
      <c r="AG35" s="68"/>
      <c r="AH35" s="68"/>
      <c r="AI35" s="68"/>
    </row>
    <row r="36">
      <c r="B36" s="39" t="s">
        <v>872</v>
      </c>
      <c r="C36" s="29">
        <f>IFS('data clean'!C37&lt;=1, 1, 'data clean'!C37&lt;=25, 2, 'data clean'!C37&lt;=50, 3, 'data clean'!C37&lt;=75, 4, TRUE, 5)</f>
        <v>3</v>
      </c>
      <c r="D36" s="29">
        <f>IFS('data clean'!D37&lt;=1, 1, 'data clean'!D37&lt;=25, 2, 'data clean'!D37&lt;=50, 3, 'data clean'!D37&lt;=75, 4, TRUE, 5)</f>
        <v>3</v>
      </c>
      <c r="E36" s="29">
        <f>IFS('data clean'!E37&lt;=1, 1, 'data clean'!E37&lt;=25, 2, 'data clean'!E37&lt;=50, 3, 'data clean'!E37&lt;=75, 4, TRUE, 5)</f>
        <v>2</v>
      </c>
      <c r="F36" s="29">
        <f>IFS('data clean'!F37&lt;=1, 1, 'data clean'!F37&lt;=3, 2, 'data clean'!F37&lt;=5, 3, 'data clean'!F37&lt;=7, 4, TRUE, 5)</f>
        <v>2</v>
      </c>
      <c r="G36" s="29">
        <f>IFS('data clean'!G37&lt;=100, 5, 'data clean'!G37&lt;=200, 4, 'data clean'!G37&lt;=350, 3, 'data clean'!G37&lt;=500, 2, TRUE, 1)</f>
        <v>2</v>
      </c>
      <c r="I36" s="39" t="s">
        <v>873</v>
      </c>
      <c r="J36" s="29">
        <f t="shared" si="1"/>
        <v>0.2159447252</v>
      </c>
      <c r="K36" s="29">
        <f t="shared" si="2"/>
        <v>0.2321469698</v>
      </c>
      <c r="L36" s="29">
        <f t="shared" si="3"/>
        <v>0.1012739367</v>
      </c>
      <c r="M36" s="29">
        <f t="shared" si="4"/>
        <v>0.1019294383</v>
      </c>
      <c r="N36" s="29">
        <f t="shared" si="5"/>
        <v>0.06395294794</v>
      </c>
      <c r="P36" s="39" t="s">
        <v>874</v>
      </c>
      <c r="Q36" s="29">
        <f t="shared" si="6"/>
        <v>0.8637789009</v>
      </c>
      <c r="R36" s="29">
        <f t="shared" si="7"/>
        <v>0.6964409093</v>
      </c>
      <c r="S36" s="29">
        <f t="shared" si="8"/>
        <v>0.2025478734</v>
      </c>
      <c r="T36" s="29">
        <f t="shared" si="9"/>
        <v>0.4077177532</v>
      </c>
      <c r="U36" s="29">
        <f t="shared" si="10"/>
        <v>0.3197647397</v>
      </c>
      <c r="V36" s="87"/>
      <c r="W36" s="39" t="s">
        <v>875</v>
      </c>
      <c r="X36" s="29">
        <f t="shared" si="11"/>
        <v>0.8661912211</v>
      </c>
      <c r="Y36" s="73">
        <f t="shared" si="12"/>
        <v>0.7837703067</v>
      </c>
      <c r="Z36" s="68"/>
      <c r="AA36" s="39" t="s">
        <v>876</v>
      </c>
      <c r="AB36" s="74">
        <f t="shared" si="13"/>
        <v>0.4750233829</v>
      </c>
      <c r="AC36" s="57"/>
      <c r="AD36" s="68"/>
      <c r="AE36" s="68"/>
      <c r="AF36" s="68"/>
      <c r="AG36" s="68"/>
      <c r="AH36" s="68"/>
      <c r="AI36" s="68"/>
    </row>
    <row r="37">
      <c r="B37" s="39" t="s">
        <v>877</v>
      </c>
      <c r="C37" s="29">
        <f>IFS('data clean'!C38&lt;=1, 1, 'data clean'!C38&lt;=25, 2, 'data clean'!C38&lt;=50, 3, 'data clean'!C38&lt;=75, 4, TRUE, 5)</f>
        <v>3</v>
      </c>
      <c r="D37" s="29">
        <f>IFS('data clean'!D38&lt;=1, 1, 'data clean'!D38&lt;=25, 2, 'data clean'!D38&lt;=50, 3, 'data clean'!D38&lt;=75, 4, TRUE, 5)</f>
        <v>3</v>
      </c>
      <c r="E37" s="29">
        <f>IFS('data clean'!E38&lt;=1, 1, 'data clean'!E38&lt;=25, 2, 'data clean'!E38&lt;=50, 3, 'data clean'!E38&lt;=75, 4, TRUE, 5)</f>
        <v>2</v>
      </c>
      <c r="F37" s="29">
        <f>IFS('data clean'!F38&lt;=1, 1, 'data clean'!F38&lt;=3, 2, 'data clean'!F38&lt;=5, 3, 'data clean'!F38&lt;=7, 4, TRUE, 5)</f>
        <v>5</v>
      </c>
      <c r="G37" s="29">
        <f>IFS('data clean'!G38&lt;=100, 5, 'data clean'!G38&lt;=200, 4, 'data clean'!G38&lt;=350, 3, 'data clean'!G38&lt;=500, 2, TRUE, 1)</f>
        <v>4</v>
      </c>
      <c r="I37" s="39" t="s">
        <v>878</v>
      </c>
      <c r="J37" s="29">
        <f t="shared" si="1"/>
        <v>0.2159447252</v>
      </c>
      <c r="K37" s="29">
        <f t="shared" si="2"/>
        <v>0.2321469698</v>
      </c>
      <c r="L37" s="29">
        <f t="shared" si="3"/>
        <v>0.1012739367</v>
      </c>
      <c r="M37" s="29">
        <f t="shared" si="4"/>
        <v>0.2548235957</v>
      </c>
      <c r="N37" s="29">
        <f t="shared" si="5"/>
        <v>0.1279058959</v>
      </c>
      <c r="P37" s="39" t="s">
        <v>879</v>
      </c>
      <c r="Q37" s="29">
        <f t="shared" si="6"/>
        <v>0.8637789009</v>
      </c>
      <c r="R37" s="29">
        <f t="shared" si="7"/>
        <v>0.6964409093</v>
      </c>
      <c r="S37" s="29">
        <f t="shared" si="8"/>
        <v>0.2025478734</v>
      </c>
      <c r="T37" s="29">
        <f t="shared" si="9"/>
        <v>1.019294383</v>
      </c>
      <c r="U37" s="29">
        <f t="shared" si="10"/>
        <v>0.6395294794</v>
      </c>
      <c r="V37" s="87"/>
      <c r="W37" s="39" t="s">
        <v>880</v>
      </c>
      <c r="X37" s="29">
        <f t="shared" si="11"/>
        <v>0.4144421311</v>
      </c>
      <c r="Y37" s="73">
        <f t="shared" si="12"/>
        <v>1.200904449</v>
      </c>
      <c r="Z37" s="68"/>
      <c r="AA37" s="39" t="s">
        <v>881</v>
      </c>
      <c r="AB37" s="74">
        <f t="shared" si="13"/>
        <v>0.7434345444</v>
      </c>
      <c r="AC37" s="57"/>
      <c r="AD37" s="68"/>
      <c r="AE37" s="68"/>
      <c r="AF37" s="68"/>
      <c r="AG37" s="68"/>
      <c r="AH37" s="68"/>
      <c r="AI37" s="68"/>
    </row>
    <row r="38">
      <c r="B38" s="39" t="s">
        <v>882</v>
      </c>
      <c r="C38" s="29">
        <f>IFS('data clean'!C39&lt;=1, 1, 'data clean'!C39&lt;=25, 2, 'data clean'!C39&lt;=50, 3, 'data clean'!C39&lt;=75, 4, TRUE, 5)</f>
        <v>2</v>
      </c>
      <c r="D38" s="29">
        <f>IFS('data clean'!D39&lt;=1, 1, 'data clean'!D39&lt;=25, 2, 'data clean'!D39&lt;=50, 3, 'data clean'!D39&lt;=75, 4, TRUE, 5)</f>
        <v>2</v>
      </c>
      <c r="E38" s="29">
        <f>IFS('data clean'!E39&lt;=1, 1, 'data clean'!E39&lt;=25, 2, 'data clean'!E39&lt;=50, 3, 'data clean'!E39&lt;=75, 4, TRUE, 5)</f>
        <v>2</v>
      </c>
      <c r="F38" s="29">
        <f>IFS('data clean'!F39&lt;=1, 1, 'data clean'!F39&lt;=3, 2, 'data clean'!F39&lt;=5, 3, 'data clean'!F39&lt;=7, 4, TRUE, 5)</f>
        <v>1</v>
      </c>
      <c r="G38" s="29">
        <f>IFS('data clean'!G39&lt;=100, 5, 'data clean'!G39&lt;=200, 4, 'data clean'!G39&lt;=350, 3, 'data clean'!G39&lt;=500, 2, TRUE, 1)</f>
        <v>2</v>
      </c>
      <c r="I38" s="39" t="s">
        <v>883</v>
      </c>
      <c r="J38" s="29">
        <f t="shared" si="1"/>
        <v>0.1439631501</v>
      </c>
      <c r="K38" s="29">
        <f t="shared" si="2"/>
        <v>0.1547646465</v>
      </c>
      <c r="L38" s="29">
        <f t="shared" si="3"/>
        <v>0.1012739367</v>
      </c>
      <c r="M38" s="29">
        <f t="shared" si="4"/>
        <v>0.05096471914</v>
      </c>
      <c r="N38" s="29">
        <f t="shared" si="5"/>
        <v>0.06395294794</v>
      </c>
      <c r="P38" s="39" t="s">
        <v>884</v>
      </c>
      <c r="Q38" s="29">
        <f t="shared" si="6"/>
        <v>0.5758526006</v>
      </c>
      <c r="R38" s="29">
        <f t="shared" si="7"/>
        <v>0.4642939395</v>
      </c>
      <c r="S38" s="29">
        <f t="shared" si="8"/>
        <v>0.2025478734</v>
      </c>
      <c r="T38" s="29">
        <f t="shared" si="9"/>
        <v>0.2038588766</v>
      </c>
      <c r="U38" s="29">
        <f t="shared" si="10"/>
        <v>0.3197647397</v>
      </c>
      <c r="V38" s="87"/>
      <c r="W38" s="39" t="s">
        <v>885</v>
      </c>
      <c r="X38" s="29">
        <f t="shared" si="11"/>
        <v>1.133919981</v>
      </c>
      <c r="Y38" s="73">
        <f t="shared" si="12"/>
        <v>0.4029344142</v>
      </c>
      <c r="Z38" s="68"/>
      <c r="AA38" s="39" t="s">
        <v>886</v>
      </c>
      <c r="AB38" s="74">
        <f t="shared" si="13"/>
        <v>0.2621812551</v>
      </c>
      <c r="AC38" s="57"/>
      <c r="AD38" s="68"/>
      <c r="AE38" s="68"/>
      <c r="AF38" s="68"/>
      <c r="AG38" s="68"/>
      <c r="AH38" s="68"/>
      <c r="AI38" s="68"/>
    </row>
    <row r="39">
      <c r="B39" s="38" t="s">
        <v>887</v>
      </c>
      <c r="C39" s="29">
        <f>IFS('data clean'!C40&lt;=1, 1, 'data clean'!C40&lt;=25, 2, 'data clean'!C40&lt;=50, 3, 'data clean'!C40&lt;=75, 4, TRUE, 5)</f>
        <v>2</v>
      </c>
      <c r="D39" s="29">
        <f>IFS('data clean'!D40&lt;=1, 1, 'data clean'!D40&lt;=25, 2, 'data clean'!D40&lt;=50, 3, 'data clean'!D40&lt;=75, 4, TRUE, 5)</f>
        <v>1</v>
      </c>
      <c r="E39" s="29">
        <f>IFS('data clean'!E40&lt;=1, 1, 'data clean'!E40&lt;=25, 2, 'data clean'!E40&lt;=50, 3, 'data clean'!E40&lt;=75, 4, TRUE, 5)</f>
        <v>2</v>
      </c>
      <c r="F39" s="29">
        <f>IFS('data clean'!F40&lt;=1, 1, 'data clean'!F40&lt;=3, 2, 'data clean'!F40&lt;=5, 3, 'data clean'!F40&lt;=7, 4, TRUE, 5)</f>
        <v>4</v>
      </c>
      <c r="G39" s="29">
        <f>IFS('data clean'!G40&lt;=100, 5, 'data clean'!G40&lt;=200, 4, 'data clean'!G40&lt;=350, 3, 'data clean'!G40&lt;=500, 2, TRUE, 1)</f>
        <v>4</v>
      </c>
      <c r="I39" s="38" t="s">
        <v>888</v>
      </c>
      <c r="J39" s="29">
        <f t="shared" si="1"/>
        <v>0.1439631501</v>
      </c>
      <c r="K39" s="29">
        <f t="shared" si="2"/>
        <v>0.07738232325</v>
      </c>
      <c r="L39" s="29">
        <f t="shared" si="3"/>
        <v>0.1012739367</v>
      </c>
      <c r="M39" s="29">
        <f t="shared" si="4"/>
        <v>0.2038588766</v>
      </c>
      <c r="N39" s="29">
        <f t="shared" si="5"/>
        <v>0.1279058959</v>
      </c>
      <c r="P39" s="38" t="s">
        <v>889</v>
      </c>
      <c r="Q39" s="29">
        <f t="shared" si="6"/>
        <v>0.5758526006</v>
      </c>
      <c r="R39" s="29">
        <f t="shared" si="7"/>
        <v>0.2321469698</v>
      </c>
      <c r="S39" s="29">
        <f t="shared" si="8"/>
        <v>0.2025478734</v>
      </c>
      <c r="T39" s="29">
        <f t="shared" si="9"/>
        <v>0.8154355063</v>
      </c>
      <c r="U39" s="29">
        <f t="shared" si="10"/>
        <v>0.6395294794</v>
      </c>
      <c r="V39" s="87"/>
      <c r="W39" s="38" t="s">
        <v>890</v>
      </c>
      <c r="X39" s="29">
        <f t="shared" si="11"/>
        <v>0.8528540324</v>
      </c>
      <c r="Y39" s="73">
        <f t="shared" si="12"/>
        <v>0.8288479222</v>
      </c>
      <c r="Z39" s="68"/>
      <c r="AA39" s="38" t="s">
        <v>891</v>
      </c>
      <c r="AB39" s="74">
        <f t="shared" si="13"/>
        <v>0.4928625551</v>
      </c>
      <c r="AC39" s="57"/>
      <c r="AD39" s="68"/>
      <c r="AE39" s="68"/>
      <c r="AF39" s="68"/>
      <c r="AG39" s="68"/>
      <c r="AH39" s="68"/>
      <c r="AI39" s="68"/>
    </row>
    <row r="40">
      <c r="B40" s="39" t="s">
        <v>892</v>
      </c>
      <c r="C40" s="29">
        <f>IFS('data clean'!C41&lt;=1, 1, 'data clean'!C41&lt;=25, 2, 'data clean'!C41&lt;=50, 3, 'data clean'!C41&lt;=75, 4, TRUE, 5)</f>
        <v>2</v>
      </c>
      <c r="D40" s="29">
        <f>IFS('data clean'!D41&lt;=1, 1, 'data clean'!D41&lt;=25, 2, 'data clean'!D41&lt;=50, 3, 'data clean'!D41&lt;=75, 4, TRUE, 5)</f>
        <v>2</v>
      </c>
      <c r="E40" s="29">
        <f>IFS('data clean'!E41&lt;=1, 1, 'data clean'!E41&lt;=25, 2, 'data clean'!E41&lt;=50, 3, 'data clean'!E41&lt;=75, 4, TRUE, 5)</f>
        <v>2</v>
      </c>
      <c r="F40" s="29">
        <f>IFS('data clean'!F41&lt;=1, 1, 'data clean'!F41&lt;=3, 2, 'data clean'!F41&lt;=5, 3, 'data clean'!F41&lt;=7, 4, TRUE, 5)</f>
        <v>1</v>
      </c>
      <c r="G40" s="29">
        <f>IFS('data clean'!G41&lt;=100, 5, 'data clean'!G41&lt;=200, 4, 'data clean'!G41&lt;=350, 3, 'data clean'!G41&lt;=500, 2, TRUE, 1)</f>
        <v>4</v>
      </c>
      <c r="I40" s="39" t="s">
        <v>893</v>
      </c>
      <c r="J40" s="29">
        <f t="shared" si="1"/>
        <v>0.1439631501</v>
      </c>
      <c r="K40" s="29">
        <f t="shared" si="2"/>
        <v>0.1547646465</v>
      </c>
      <c r="L40" s="29">
        <f t="shared" si="3"/>
        <v>0.1012739367</v>
      </c>
      <c r="M40" s="29">
        <f t="shared" si="4"/>
        <v>0.05096471914</v>
      </c>
      <c r="N40" s="29">
        <f t="shared" si="5"/>
        <v>0.1279058959</v>
      </c>
      <c r="P40" s="39" t="s">
        <v>894</v>
      </c>
      <c r="Q40" s="29">
        <f t="shared" si="6"/>
        <v>0.5758526006</v>
      </c>
      <c r="R40" s="29">
        <f t="shared" si="7"/>
        <v>0.4642939395</v>
      </c>
      <c r="S40" s="29">
        <f t="shared" si="8"/>
        <v>0.2025478734</v>
      </c>
      <c r="T40" s="29">
        <f t="shared" si="9"/>
        <v>0.2038588766</v>
      </c>
      <c r="U40" s="29">
        <f t="shared" si="10"/>
        <v>0.6395294794</v>
      </c>
      <c r="V40" s="87"/>
      <c r="W40" s="39" t="s">
        <v>895</v>
      </c>
      <c r="X40" s="29">
        <f t="shared" si="11"/>
        <v>1.039844001</v>
      </c>
      <c r="Y40" s="73">
        <f t="shared" si="12"/>
        <v>0.6056856608</v>
      </c>
      <c r="Z40" s="68"/>
      <c r="AA40" s="39" t="s">
        <v>896</v>
      </c>
      <c r="AB40" s="74">
        <f t="shared" si="13"/>
        <v>0.3680794548</v>
      </c>
      <c r="AC40" s="57"/>
      <c r="AD40" s="68"/>
      <c r="AE40" s="68"/>
      <c r="AF40" s="68"/>
      <c r="AG40" s="68"/>
      <c r="AH40" s="68"/>
      <c r="AI40" s="68"/>
    </row>
    <row r="41">
      <c r="B41" s="39" t="s">
        <v>897</v>
      </c>
      <c r="C41" s="29">
        <f>IFS('data clean'!C42&lt;=1, 1, 'data clean'!C42&lt;=25, 2, 'data clean'!C42&lt;=50, 3, 'data clean'!C42&lt;=75, 4, TRUE, 5)</f>
        <v>2</v>
      </c>
      <c r="D41" s="29">
        <f>IFS('data clean'!D42&lt;=1, 1, 'data clean'!D42&lt;=25, 2, 'data clean'!D42&lt;=50, 3, 'data clean'!D42&lt;=75, 4, TRUE, 5)</f>
        <v>2</v>
      </c>
      <c r="E41" s="29">
        <f>IFS('data clean'!E42&lt;=1, 1, 'data clean'!E42&lt;=25, 2, 'data clean'!E42&lt;=50, 3, 'data clean'!E42&lt;=75, 4, TRUE, 5)</f>
        <v>2</v>
      </c>
      <c r="F41" s="29">
        <f>IFS('data clean'!F42&lt;=1, 1, 'data clean'!F42&lt;=3, 2, 'data clean'!F42&lt;=5, 3, 'data clean'!F42&lt;=7, 4, TRUE, 5)</f>
        <v>1</v>
      </c>
      <c r="G41" s="29">
        <f>IFS('data clean'!G42&lt;=100, 5, 'data clean'!G42&lt;=200, 4, 'data clean'!G42&lt;=350, 3, 'data clean'!G42&lt;=500, 2, TRUE, 1)</f>
        <v>5</v>
      </c>
      <c r="I41" s="39" t="s">
        <v>898</v>
      </c>
      <c r="J41" s="29">
        <f t="shared" si="1"/>
        <v>0.1439631501</v>
      </c>
      <c r="K41" s="29">
        <f t="shared" si="2"/>
        <v>0.1547646465</v>
      </c>
      <c r="L41" s="29">
        <f t="shared" si="3"/>
        <v>0.1012739367</v>
      </c>
      <c r="M41" s="29">
        <f t="shared" si="4"/>
        <v>0.05096471914</v>
      </c>
      <c r="N41" s="29">
        <f t="shared" si="5"/>
        <v>0.1598823698</v>
      </c>
      <c r="P41" s="39" t="s">
        <v>899</v>
      </c>
      <c r="Q41" s="29">
        <f t="shared" si="6"/>
        <v>0.5758526006</v>
      </c>
      <c r="R41" s="29">
        <f t="shared" si="7"/>
        <v>0.4642939395</v>
      </c>
      <c r="S41" s="29">
        <f t="shared" si="8"/>
        <v>0.2025478734</v>
      </c>
      <c r="T41" s="29">
        <f t="shared" si="9"/>
        <v>0.2038588766</v>
      </c>
      <c r="U41" s="29">
        <f t="shared" si="10"/>
        <v>0.7994118492</v>
      </c>
      <c r="V41" s="87"/>
      <c r="W41" s="39" t="s">
        <v>900</v>
      </c>
      <c r="X41" s="29">
        <f t="shared" si="11"/>
        <v>1.027479038</v>
      </c>
      <c r="Y41" s="73">
        <f t="shared" si="12"/>
        <v>0.7387771822</v>
      </c>
      <c r="Z41" s="68"/>
      <c r="AA41" s="39" t="s">
        <v>901</v>
      </c>
      <c r="AB41" s="74">
        <f t="shared" si="13"/>
        <v>0.4182729401</v>
      </c>
      <c r="AC41" s="57"/>
      <c r="AD41" s="68"/>
      <c r="AE41" s="68"/>
      <c r="AF41" s="68"/>
      <c r="AG41" s="68"/>
      <c r="AH41" s="68"/>
      <c r="AI41" s="68"/>
    </row>
    <row r="42">
      <c r="B42" s="38" t="s">
        <v>902</v>
      </c>
      <c r="C42" s="29">
        <f>IFS('data clean'!C43&lt;=1, 1, 'data clean'!C43&lt;=25, 2, 'data clean'!C43&lt;=50, 3, 'data clean'!C43&lt;=75, 4, TRUE, 5)</f>
        <v>2</v>
      </c>
      <c r="D42" s="29">
        <f>IFS('data clean'!D43&lt;=1, 1, 'data clean'!D43&lt;=25, 2, 'data clean'!D43&lt;=50, 3, 'data clean'!D43&lt;=75, 4, TRUE, 5)</f>
        <v>2</v>
      </c>
      <c r="E42" s="29">
        <f>IFS('data clean'!E43&lt;=1, 1, 'data clean'!E43&lt;=25, 2, 'data clean'!E43&lt;=50, 3, 'data clean'!E43&lt;=75, 4, TRUE, 5)</f>
        <v>2</v>
      </c>
      <c r="F42" s="29">
        <f>IFS('data clean'!F43&lt;=1, 1, 'data clean'!F43&lt;=3, 2, 'data clean'!F43&lt;=5, 3, 'data clean'!F43&lt;=7, 4, TRUE, 5)</f>
        <v>1</v>
      </c>
      <c r="G42" s="29">
        <f>IFS('data clean'!G43&lt;=100, 5, 'data clean'!G43&lt;=200, 4, 'data clean'!G43&lt;=350, 3, 'data clean'!G43&lt;=500, 2, TRUE, 1)</f>
        <v>1</v>
      </c>
      <c r="I42" s="38" t="s">
        <v>903</v>
      </c>
      <c r="J42" s="29">
        <f t="shared" si="1"/>
        <v>0.1439631501</v>
      </c>
      <c r="K42" s="29">
        <f t="shared" si="2"/>
        <v>0.1547646465</v>
      </c>
      <c r="L42" s="29">
        <f t="shared" si="3"/>
        <v>0.1012739367</v>
      </c>
      <c r="M42" s="29">
        <f t="shared" si="4"/>
        <v>0.05096471914</v>
      </c>
      <c r="N42" s="29">
        <f t="shared" si="5"/>
        <v>0.03197647397</v>
      </c>
      <c r="P42" s="38" t="s">
        <v>904</v>
      </c>
      <c r="Q42" s="29">
        <f t="shared" si="6"/>
        <v>0.5758526006</v>
      </c>
      <c r="R42" s="29">
        <f t="shared" si="7"/>
        <v>0.4642939395</v>
      </c>
      <c r="S42" s="29">
        <f t="shared" si="8"/>
        <v>0.2025478734</v>
      </c>
      <c r="T42" s="29">
        <f t="shared" si="9"/>
        <v>0.2038588766</v>
      </c>
      <c r="U42" s="29">
        <f t="shared" si="10"/>
        <v>0.1598823698</v>
      </c>
      <c r="V42" s="87"/>
      <c r="W42" s="38" t="s">
        <v>905</v>
      </c>
      <c r="X42" s="29">
        <f t="shared" si="11"/>
        <v>1.210252506</v>
      </c>
      <c r="Y42" s="73">
        <f t="shared" si="12"/>
        <v>0.3698564181</v>
      </c>
      <c r="Z42" s="68"/>
      <c r="AA42" s="38" t="s">
        <v>906</v>
      </c>
      <c r="AB42" s="74">
        <f t="shared" si="13"/>
        <v>0.2340702039</v>
      </c>
      <c r="AC42" s="57"/>
      <c r="AD42" s="68"/>
      <c r="AE42" s="68"/>
      <c r="AF42" s="68"/>
      <c r="AG42" s="68"/>
      <c r="AH42" s="68"/>
      <c r="AI42" s="68"/>
    </row>
    <row r="43">
      <c r="B43" s="39" t="s">
        <v>907</v>
      </c>
      <c r="C43" s="29">
        <f>IFS('data clean'!C44&lt;=1, 1, 'data clean'!C44&lt;=25, 2, 'data clean'!C44&lt;=50, 3, 'data clean'!C44&lt;=75, 4, TRUE, 5)</f>
        <v>2</v>
      </c>
      <c r="D43" s="29">
        <f>IFS('data clean'!D44&lt;=1, 1, 'data clean'!D44&lt;=25, 2, 'data clean'!D44&lt;=50, 3, 'data clean'!D44&lt;=75, 4, TRUE, 5)</f>
        <v>3</v>
      </c>
      <c r="E43" s="29">
        <f>IFS('data clean'!E44&lt;=1, 1, 'data clean'!E44&lt;=25, 2, 'data clean'!E44&lt;=50, 3, 'data clean'!E44&lt;=75, 4, TRUE, 5)</f>
        <v>2</v>
      </c>
      <c r="F43" s="29">
        <f>IFS('data clean'!F44&lt;=1, 1, 'data clean'!F44&lt;=3, 2, 'data clean'!F44&lt;=5, 3, 'data clean'!F44&lt;=7, 4, TRUE, 5)</f>
        <v>3</v>
      </c>
      <c r="G43" s="29">
        <f>IFS('data clean'!G44&lt;=100, 5, 'data clean'!G44&lt;=200, 4, 'data clean'!G44&lt;=350, 3, 'data clean'!G44&lt;=500, 2, TRUE, 1)</f>
        <v>5</v>
      </c>
      <c r="I43" s="39" t="s">
        <v>908</v>
      </c>
      <c r="J43" s="29">
        <f t="shared" si="1"/>
        <v>0.1439631501</v>
      </c>
      <c r="K43" s="29">
        <f t="shared" si="2"/>
        <v>0.2321469698</v>
      </c>
      <c r="L43" s="29">
        <f t="shared" si="3"/>
        <v>0.1012739367</v>
      </c>
      <c r="M43" s="29">
        <f t="shared" si="4"/>
        <v>0.1528941574</v>
      </c>
      <c r="N43" s="29">
        <f t="shared" si="5"/>
        <v>0.1598823698</v>
      </c>
      <c r="P43" s="39" t="s">
        <v>909</v>
      </c>
      <c r="Q43" s="29">
        <f t="shared" si="6"/>
        <v>0.5758526006</v>
      </c>
      <c r="R43" s="29">
        <f t="shared" si="7"/>
        <v>0.6964409093</v>
      </c>
      <c r="S43" s="29">
        <f t="shared" si="8"/>
        <v>0.2025478734</v>
      </c>
      <c r="T43" s="29">
        <f t="shared" si="9"/>
        <v>0.6115766297</v>
      </c>
      <c r="U43" s="29">
        <f t="shared" si="10"/>
        <v>0.7994118492</v>
      </c>
      <c r="V43" s="87"/>
      <c r="W43" s="39" t="s">
        <v>910</v>
      </c>
      <c r="X43" s="29">
        <f t="shared" si="11"/>
        <v>0.6287568914</v>
      </c>
      <c r="Y43" s="73">
        <f t="shared" si="12"/>
        <v>0.9347203528</v>
      </c>
      <c r="Z43" s="68"/>
      <c r="AA43" s="39" t="s">
        <v>911</v>
      </c>
      <c r="AB43" s="74">
        <f t="shared" si="13"/>
        <v>0.5978471105</v>
      </c>
      <c r="AC43" s="57"/>
      <c r="AD43" s="68"/>
      <c r="AE43" s="68"/>
      <c r="AF43" s="68"/>
      <c r="AG43" s="68"/>
      <c r="AH43" s="68"/>
      <c r="AI43" s="68"/>
    </row>
    <row r="44">
      <c r="B44" s="39" t="s">
        <v>912</v>
      </c>
      <c r="C44" s="29">
        <f>IFS('data clean'!C45&lt;=1, 1, 'data clean'!C45&lt;=25, 2, 'data clean'!C45&lt;=50, 3, 'data clean'!C45&lt;=75, 4, TRUE, 5)</f>
        <v>2</v>
      </c>
      <c r="D44" s="29">
        <f>IFS('data clean'!D45&lt;=1, 1, 'data clean'!D45&lt;=25, 2, 'data clean'!D45&lt;=50, 3, 'data clean'!D45&lt;=75, 4, TRUE, 5)</f>
        <v>2</v>
      </c>
      <c r="E44" s="29">
        <f>IFS('data clean'!E45&lt;=1, 1, 'data clean'!E45&lt;=25, 2, 'data clean'!E45&lt;=50, 3, 'data clean'!E45&lt;=75, 4, TRUE, 5)</f>
        <v>2</v>
      </c>
      <c r="F44" s="29">
        <f>IFS('data clean'!F45&lt;=1, 1, 'data clean'!F45&lt;=3, 2, 'data clean'!F45&lt;=5, 3, 'data clean'!F45&lt;=7, 4, TRUE, 5)</f>
        <v>1</v>
      </c>
      <c r="G44" s="29">
        <f>IFS('data clean'!G45&lt;=100, 5, 'data clean'!G45&lt;=200, 4, 'data clean'!G45&lt;=350, 3, 'data clean'!G45&lt;=500, 2, TRUE, 1)</f>
        <v>2</v>
      </c>
      <c r="I44" s="39" t="s">
        <v>913</v>
      </c>
      <c r="J44" s="29">
        <f t="shared" si="1"/>
        <v>0.1439631501</v>
      </c>
      <c r="K44" s="29">
        <f t="shared" si="2"/>
        <v>0.1547646465</v>
      </c>
      <c r="L44" s="29">
        <f t="shared" si="3"/>
        <v>0.1012739367</v>
      </c>
      <c r="M44" s="29">
        <f t="shared" si="4"/>
        <v>0.05096471914</v>
      </c>
      <c r="N44" s="29">
        <f t="shared" si="5"/>
        <v>0.06395294794</v>
      </c>
      <c r="P44" s="39" t="s">
        <v>914</v>
      </c>
      <c r="Q44" s="29">
        <f t="shared" si="6"/>
        <v>0.5758526006</v>
      </c>
      <c r="R44" s="29">
        <f t="shared" si="7"/>
        <v>0.4642939395</v>
      </c>
      <c r="S44" s="29">
        <f t="shared" si="8"/>
        <v>0.2025478734</v>
      </c>
      <c r="T44" s="29">
        <f t="shared" si="9"/>
        <v>0.2038588766</v>
      </c>
      <c r="U44" s="29">
        <f t="shared" si="10"/>
        <v>0.3197647397</v>
      </c>
      <c r="V44" s="87"/>
      <c r="W44" s="39" t="s">
        <v>915</v>
      </c>
      <c r="X44" s="29">
        <f t="shared" si="11"/>
        <v>1.133919981</v>
      </c>
      <c r="Y44" s="73">
        <f t="shared" si="12"/>
        <v>0.4029344142</v>
      </c>
      <c r="Z44" s="68"/>
      <c r="AA44" s="39" t="s">
        <v>916</v>
      </c>
      <c r="AB44" s="74">
        <f t="shared" si="13"/>
        <v>0.2621812551</v>
      </c>
      <c r="AC44" s="57"/>
      <c r="AD44" s="68"/>
      <c r="AE44" s="68"/>
      <c r="AF44" s="68"/>
      <c r="AG44" s="68"/>
      <c r="AH44" s="68"/>
      <c r="AI44" s="68"/>
    </row>
    <row r="45">
      <c r="B45" s="39" t="s">
        <v>917</v>
      </c>
      <c r="C45" s="29">
        <f>IFS('data clean'!C46&lt;=1, 1, 'data clean'!C46&lt;=25, 2, 'data clean'!C46&lt;=50, 3, 'data clean'!C46&lt;=75, 4, TRUE, 5)</f>
        <v>2</v>
      </c>
      <c r="D45" s="29">
        <f>IFS('data clean'!D46&lt;=1, 1, 'data clean'!D46&lt;=25, 2, 'data clean'!D46&lt;=50, 3, 'data clean'!D46&lt;=75, 4, TRUE, 5)</f>
        <v>2</v>
      </c>
      <c r="E45" s="29">
        <f>IFS('data clean'!E46&lt;=1, 1, 'data clean'!E46&lt;=25, 2, 'data clean'!E46&lt;=50, 3, 'data clean'!E46&lt;=75, 4, TRUE, 5)</f>
        <v>2</v>
      </c>
      <c r="F45" s="29">
        <f>IFS('data clean'!F46&lt;=1, 1, 'data clean'!F46&lt;=3, 2, 'data clean'!F46&lt;=5, 3, 'data clean'!F46&lt;=7, 4, TRUE, 5)</f>
        <v>2</v>
      </c>
      <c r="G45" s="29">
        <f>IFS('data clean'!G46&lt;=100, 5, 'data clean'!G46&lt;=200, 4, 'data clean'!G46&lt;=350, 3, 'data clean'!G46&lt;=500, 2, TRUE, 1)</f>
        <v>3</v>
      </c>
      <c r="I45" s="39" t="s">
        <v>918</v>
      </c>
      <c r="J45" s="29">
        <f t="shared" si="1"/>
        <v>0.1439631501</v>
      </c>
      <c r="K45" s="29">
        <f t="shared" si="2"/>
        <v>0.1547646465</v>
      </c>
      <c r="L45" s="29">
        <f t="shared" si="3"/>
        <v>0.1012739367</v>
      </c>
      <c r="M45" s="29">
        <f t="shared" si="4"/>
        <v>0.1019294383</v>
      </c>
      <c r="N45" s="29">
        <f t="shared" si="5"/>
        <v>0.09592942191</v>
      </c>
      <c r="P45" s="39" t="s">
        <v>919</v>
      </c>
      <c r="Q45" s="29">
        <f t="shared" si="6"/>
        <v>0.5758526006</v>
      </c>
      <c r="R45" s="29">
        <f t="shared" si="7"/>
        <v>0.4642939395</v>
      </c>
      <c r="S45" s="29">
        <f t="shared" si="8"/>
        <v>0.2025478734</v>
      </c>
      <c r="T45" s="29">
        <f t="shared" si="9"/>
        <v>0.4077177532</v>
      </c>
      <c r="U45" s="29">
        <f t="shared" si="10"/>
        <v>0.4796471095</v>
      </c>
      <c r="V45" s="87"/>
      <c r="W45" s="39" t="s">
        <v>920</v>
      </c>
      <c r="X45" s="29">
        <f t="shared" si="11"/>
        <v>0.9311571144</v>
      </c>
      <c r="Y45" s="73">
        <f t="shared" si="12"/>
        <v>0.5297185104</v>
      </c>
      <c r="Z45" s="68"/>
      <c r="AA45" s="39" t="s">
        <v>921</v>
      </c>
      <c r="AB45" s="74">
        <f t="shared" si="13"/>
        <v>0.3626034287</v>
      </c>
      <c r="AC45" s="57"/>
      <c r="AD45" s="68"/>
      <c r="AE45" s="68"/>
      <c r="AF45" s="68"/>
      <c r="AG45" s="68"/>
      <c r="AH45" s="68"/>
      <c r="AI45" s="68"/>
    </row>
    <row r="46">
      <c r="B46" s="39" t="s">
        <v>922</v>
      </c>
      <c r="C46" s="29">
        <f>IFS('data clean'!C47&lt;=1, 1, 'data clean'!C47&lt;=25, 2, 'data clean'!C47&lt;=50, 3, 'data clean'!C47&lt;=75, 4, TRUE, 5)</f>
        <v>2</v>
      </c>
      <c r="D46" s="29">
        <f>IFS('data clean'!D47&lt;=1, 1, 'data clean'!D47&lt;=25, 2, 'data clean'!D47&lt;=50, 3, 'data clean'!D47&lt;=75, 4, TRUE, 5)</f>
        <v>2</v>
      </c>
      <c r="E46" s="29">
        <f>IFS('data clean'!E47&lt;=1, 1, 'data clean'!E47&lt;=25, 2, 'data clean'!E47&lt;=50, 3, 'data clean'!E47&lt;=75, 4, TRUE, 5)</f>
        <v>2</v>
      </c>
      <c r="F46" s="29">
        <f>IFS('data clean'!F47&lt;=1, 1, 'data clean'!F47&lt;=3, 2, 'data clean'!F47&lt;=5, 3, 'data clean'!F47&lt;=7, 4, TRUE, 5)</f>
        <v>2</v>
      </c>
      <c r="G46" s="29">
        <f>IFS('data clean'!G47&lt;=100, 5, 'data clean'!G47&lt;=200, 4, 'data clean'!G47&lt;=350, 3, 'data clean'!G47&lt;=500, 2, TRUE, 1)</f>
        <v>3</v>
      </c>
      <c r="I46" s="39" t="s">
        <v>923</v>
      </c>
      <c r="J46" s="29">
        <f t="shared" si="1"/>
        <v>0.1439631501</v>
      </c>
      <c r="K46" s="29">
        <f t="shared" si="2"/>
        <v>0.1547646465</v>
      </c>
      <c r="L46" s="29">
        <f t="shared" si="3"/>
        <v>0.1012739367</v>
      </c>
      <c r="M46" s="29">
        <f t="shared" si="4"/>
        <v>0.1019294383</v>
      </c>
      <c r="N46" s="29">
        <f t="shared" si="5"/>
        <v>0.09592942191</v>
      </c>
      <c r="P46" s="39" t="s">
        <v>924</v>
      </c>
      <c r="Q46" s="29">
        <f t="shared" si="6"/>
        <v>0.5758526006</v>
      </c>
      <c r="R46" s="29">
        <f t="shared" si="7"/>
        <v>0.4642939395</v>
      </c>
      <c r="S46" s="29">
        <f t="shared" si="8"/>
        <v>0.2025478734</v>
      </c>
      <c r="T46" s="29">
        <f t="shared" si="9"/>
        <v>0.4077177532</v>
      </c>
      <c r="U46" s="29">
        <f t="shared" si="10"/>
        <v>0.4796471095</v>
      </c>
      <c r="V46" s="87"/>
      <c r="W46" s="39" t="s">
        <v>925</v>
      </c>
      <c r="X46" s="29">
        <f t="shared" si="11"/>
        <v>0.9311571144</v>
      </c>
      <c r="Y46" s="73">
        <f t="shared" si="12"/>
        <v>0.5297185104</v>
      </c>
      <c r="Z46" s="68"/>
      <c r="AA46" s="39" t="s">
        <v>926</v>
      </c>
      <c r="AB46" s="74">
        <f t="shared" si="13"/>
        <v>0.3626034287</v>
      </c>
      <c r="AC46" s="57"/>
      <c r="AD46" s="68"/>
      <c r="AE46" s="68"/>
      <c r="AF46" s="68"/>
      <c r="AG46" s="68"/>
      <c r="AH46" s="68"/>
      <c r="AI46" s="68"/>
    </row>
    <row r="47">
      <c r="B47" s="38" t="s">
        <v>927</v>
      </c>
      <c r="C47" s="29">
        <f>IFS('data clean'!C48&lt;=1, 1, 'data clean'!C48&lt;=25, 2, 'data clean'!C48&lt;=50, 3, 'data clean'!C48&lt;=75, 4, TRUE, 5)</f>
        <v>1</v>
      </c>
      <c r="D47" s="29">
        <f>IFS('data clean'!D48&lt;=1, 1, 'data clean'!D48&lt;=25, 2, 'data clean'!D48&lt;=50, 3, 'data clean'!D48&lt;=75, 4, TRUE, 5)</f>
        <v>1</v>
      </c>
      <c r="E47" s="29">
        <f>IFS('data clean'!E48&lt;=1, 1, 'data clean'!E48&lt;=25, 2, 'data clean'!E48&lt;=50, 3, 'data clean'!E48&lt;=75, 4, TRUE, 5)</f>
        <v>2</v>
      </c>
      <c r="F47" s="29">
        <f>IFS('data clean'!F48&lt;=1, 1, 'data clean'!F48&lt;=3, 2, 'data clean'!F48&lt;=5, 3, 'data clean'!F48&lt;=7, 4, TRUE, 5)</f>
        <v>2</v>
      </c>
      <c r="G47" s="29">
        <f>IFS('data clean'!G48&lt;=100, 5, 'data clean'!G48&lt;=200, 4, 'data clean'!G48&lt;=350, 3, 'data clean'!G48&lt;=500, 2, TRUE, 1)</f>
        <v>5</v>
      </c>
      <c r="I47" s="38" t="s">
        <v>928</v>
      </c>
      <c r="J47" s="29">
        <f t="shared" si="1"/>
        <v>0.07198157507</v>
      </c>
      <c r="K47" s="29">
        <f t="shared" si="2"/>
        <v>0.07738232325</v>
      </c>
      <c r="L47" s="29">
        <f t="shared" si="3"/>
        <v>0.1012739367</v>
      </c>
      <c r="M47" s="29">
        <f t="shared" si="4"/>
        <v>0.1019294383</v>
      </c>
      <c r="N47" s="29">
        <f t="shared" si="5"/>
        <v>0.1598823698</v>
      </c>
      <c r="P47" s="38" t="s">
        <v>929</v>
      </c>
      <c r="Q47" s="29">
        <f t="shared" si="6"/>
        <v>0.2879263003</v>
      </c>
      <c r="R47" s="29">
        <f t="shared" si="7"/>
        <v>0.2321469698</v>
      </c>
      <c r="S47" s="29">
        <f t="shared" si="8"/>
        <v>0.2025478734</v>
      </c>
      <c r="T47" s="29">
        <f t="shared" si="9"/>
        <v>0.4077177532</v>
      </c>
      <c r="U47" s="29">
        <f t="shared" si="10"/>
        <v>0.7994118492</v>
      </c>
      <c r="V47" s="87"/>
      <c r="W47" s="38" t="s">
        <v>930</v>
      </c>
      <c r="X47" s="29">
        <f t="shared" si="11"/>
        <v>1.132682579</v>
      </c>
      <c r="Y47" s="73">
        <f t="shared" si="12"/>
        <v>0.6712349787</v>
      </c>
      <c r="Z47" s="68"/>
      <c r="AA47" s="38" t="s">
        <v>931</v>
      </c>
      <c r="AB47" s="74">
        <f t="shared" si="13"/>
        <v>0.3720984786</v>
      </c>
      <c r="AC47" s="57"/>
      <c r="AD47" s="68"/>
      <c r="AE47" s="68"/>
      <c r="AF47" s="68"/>
      <c r="AG47" s="68"/>
      <c r="AH47" s="68"/>
      <c r="AI47" s="68"/>
    </row>
    <row r="48">
      <c r="B48" s="39" t="s">
        <v>932</v>
      </c>
      <c r="C48" s="29">
        <f>IFS('data clean'!C49&lt;=1, 1, 'data clean'!C49&lt;=25, 2, 'data clean'!C49&lt;=50, 3, 'data clean'!C49&lt;=75, 4, TRUE, 5)</f>
        <v>1</v>
      </c>
      <c r="D48" s="29">
        <f>IFS('data clean'!D49&lt;=1, 1, 'data clean'!D49&lt;=25, 2, 'data clean'!D49&lt;=50, 3, 'data clean'!D49&lt;=75, 4, TRUE, 5)</f>
        <v>1</v>
      </c>
      <c r="E48" s="29">
        <f>IFS('data clean'!E49&lt;=1, 1, 'data clean'!E49&lt;=25, 2, 'data clean'!E49&lt;=50, 3, 'data clean'!E49&lt;=75, 4, TRUE, 5)</f>
        <v>2</v>
      </c>
      <c r="F48" s="29">
        <f>IFS('data clean'!F49&lt;=1, 1, 'data clean'!F49&lt;=3, 2, 'data clean'!F49&lt;=5, 3, 'data clean'!F49&lt;=7, 4, TRUE, 5)</f>
        <v>2</v>
      </c>
      <c r="G48" s="29">
        <f>IFS('data clean'!G49&lt;=100, 5, 'data clean'!G49&lt;=200, 4, 'data clean'!G49&lt;=350, 3, 'data clean'!G49&lt;=500, 2, TRUE, 1)</f>
        <v>5</v>
      </c>
      <c r="I48" s="39" t="s">
        <v>933</v>
      </c>
      <c r="J48" s="29">
        <f t="shared" si="1"/>
        <v>0.07198157507</v>
      </c>
      <c r="K48" s="29">
        <f t="shared" si="2"/>
        <v>0.07738232325</v>
      </c>
      <c r="L48" s="29">
        <f t="shared" si="3"/>
        <v>0.1012739367</v>
      </c>
      <c r="M48" s="29">
        <f t="shared" si="4"/>
        <v>0.1019294383</v>
      </c>
      <c r="N48" s="29">
        <f t="shared" si="5"/>
        <v>0.1598823698</v>
      </c>
      <c r="P48" s="39" t="s">
        <v>934</v>
      </c>
      <c r="Q48" s="29">
        <f t="shared" si="6"/>
        <v>0.2879263003</v>
      </c>
      <c r="R48" s="29">
        <f t="shared" si="7"/>
        <v>0.2321469698</v>
      </c>
      <c r="S48" s="29">
        <f t="shared" si="8"/>
        <v>0.2025478734</v>
      </c>
      <c r="T48" s="29">
        <f t="shared" si="9"/>
        <v>0.4077177532</v>
      </c>
      <c r="U48" s="29">
        <f t="shared" si="10"/>
        <v>0.7994118492</v>
      </c>
      <c r="V48" s="87"/>
      <c r="W48" s="39" t="s">
        <v>935</v>
      </c>
      <c r="X48" s="29">
        <f t="shared" si="11"/>
        <v>1.132682579</v>
      </c>
      <c r="Y48" s="73">
        <f t="shared" si="12"/>
        <v>0.6712349787</v>
      </c>
      <c r="Z48" s="68"/>
      <c r="AA48" s="39" t="s">
        <v>936</v>
      </c>
      <c r="AB48" s="74">
        <f t="shared" si="13"/>
        <v>0.3720984786</v>
      </c>
      <c r="AC48" s="57"/>
      <c r="AD48" s="68"/>
      <c r="AE48" s="68"/>
      <c r="AF48" s="68"/>
      <c r="AG48" s="68"/>
      <c r="AH48" s="68"/>
      <c r="AI48" s="68"/>
    </row>
    <row r="49">
      <c r="B49" s="39" t="s">
        <v>937</v>
      </c>
      <c r="C49" s="29">
        <f>IFS('data clean'!C50&lt;=1, 1, 'data clean'!C50&lt;=25, 2, 'data clean'!C50&lt;=50, 3, 'data clean'!C50&lt;=75, 4, TRUE, 5)</f>
        <v>2</v>
      </c>
      <c r="D49" s="29">
        <f>IFS('data clean'!D50&lt;=1, 1, 'data clean'!D50&lt;=25, 2, 'data clean'!D50&lt;=50, 3, 'data clean'!D50&lt;=75, 4, TRUE, 5)</f>
        <v>2</v>
      </c>
      <c r="E49" s="29">
        <f>IFS('data clean'!E50&lt;=1, 1, 'data clean'!E50&lt;=25, 2, 'data clean'!E50&lt;=50, 3, 'data clean'!E50&lt;=75, 4, TRUE, 5)</f>
        <v>2</v>
      </c>
      <c r="F49" s="29">
        <f>IFS('data clean'!F50&lt;=1, 1, 'data clean'!F50&lt;=3, 2, 'data clean'!F50&lt;=5, 3, 'data clean'!F50&lt;=7, 4, TRUE, 5)</f>
        <v>4</v>
      </c>
      <c r="G49" s="29">
        <f>IFS('data clean'!G50&lt;=100, 5, 'data clean'!G50&lt;=200, 4, 'data clean'!G50&lt;=350, 3, 'data clean'!G50&lt;=500, 2, TRUE, 1)</f>
        <v>5</v>
      </c>
      <c r="I49" s="39" t="s">
        <v>938</v>
      </c>
      <c r="J49" s="29">
        <f t="shared" si="1"/>
        <v>0.1439631501</v>
      </c>
      <c r="K49" s="29">
        <f t="shared" si="2"/>
        <v>0.1547646465</v>
      </c>
      <c r="L49" s="29">
        <f t="shared" si="3"/>
        <v>0.1012739367</v>
      </c>
      <c r="M49" s="29">
        <f t="shared" si="4"/>
        <v>0.2038588766</v>
      </c>
      <c r="N49" s="29">
        <f t="shared" si="5"/>
        <v>0.1598823698</v>
      </c>
      <c r="P49" s="39" t="s">
        <v>939</v>
      </c>
      <c r="Q49" s="29">
        <f t="shared" si="6"/>
        <v>0.5758526006</v>
      </c>
      <c r="R49" s="29">
        <f t="shared" si="7"/>
        <v>0.4642939395</v>
      </c>
      <c r="S49" s="29">
        <f t="shared" si="8"/>
        <v>0.2025478734</v>
      </c>
      <c r="T49" s="29">
        <f t="shared" si="9"/>
        <v>0.8154355063</v>
      </c>
      <c r="U49" s="29">
        <f t="shared" si="10"/>
        <v>0.7994118492</v>
      </c>
      <c r="V49" s="87"/>
      <c r="W49" s="39" t="s">
        <v>940</v>
      </c>
      <c r="X49" s="29">
        <f t="shared" si="11"/>
        <v>0.6575230418</v>
      </c>
      <c r="Y49" s="73">
        <f t="shared" si="12"/>
        <v>0.959071269</v>
      </c>
      <c r="Z49" s="68"/>
      <c r="AA49" s="39" t="s">
        <v>941</v>
      </c>
      <c r="AB49" s="74">
        <f t="shared" si="13"/>
        <v>0.5932665125</v>
      </c>
      <c r="AC49" s="57"/>
      <c r="AD49" s="68"/>
      <c r="AE49" s="68"/>
      <c r="AF49" s="68"/>
      <c r="AG49" s="68"/>
      <c r="AH49" s="68"/>
      <c r="AI49" s="68"/>
    </row>
    <row r="50">
      <c r="B50" s="39" t="s">
        <v>942</v>
      </c>
      <c r="C50" s="29">
        <f>IFS('data clean'!C51&lt;=1, 1, 'data clean'!C51&lt;=25, 2, 'data clean'!C51&lt;=50, 3, 'data clean'!C51&lt;=75, 4, TRUE, 5)</f>
        <v>2</v>
      </c>
      <c r="D50" s="29">
        <f>IFS('data clean'!D51&lt;=1, 1, 'data clean'!D51&lt;=25, 2, 'data clean'!D51&lt;=50, 3, 'data clean'!D51&lt;=75, 4, TRUE, 5)</f>
        <v>2</v>
      </c>
      <c r="E50" s="29">
        <f>IFS('data clean'!E51&lt;=1, 1, 'data clean'!E51&lt;=25, 2, 'data clean'!E51&lt;=50, 3, 'data clean'!E51&lt;=75, 4, TRUE, 5)</f>
        <v>2</v>
      </c>
      <c r="F50" s="29">
        <f>IFS('data clean'!F51&lt;=1, 1, 'data clean'!F51&lt;=3, 2, 'data clean'!F51&lt;=5, 3, 'data clean'!F51&lt;=7, 4, TRUE, 5)</f>
        <v>3</v>
      </c>
      <c r="G50" s="29">
        <f>IFS('data clean'!G51&lt;=100, 5, 'data clean'!G51&lt;=200, 4, 'data clean'!G51&lt;=350, 3, 'data clean'!G51&lt;=500, 2, TRUE, 1)</f>
        <v>5</v>
      </c>
      <c r="I50" s="39" t="s">
        <v>943</v>
      </c>
      <c r="J50" s="29">
        <f t="shared" si="1"/>
        <v>0.1439631501</v>
      </c>
      <c r="K50" s="29">
        <f t="shared" si="2"/>
        <v>0.1547646465</v>
      </c>
      <c r="L50" s="29">
        <f t="shared" si="3"/>
        <v>0.1012739367</v>
      </c>
      <c r="M50" s="29">
        <f t="shared" si="4"/>
        <v>0.1528941574</v>
      </c>
      <c r="N50" s="29">
        <f t="shared" si="5"/>
        <v>0.1598823698</v>
      </c>
      <c r="P50" s="39" t="s">
        <v>944</v>
      </c>
      <c r="Q50" s="29">
        <f t="shared" si="6"/>
        <v>0.5758526006</v>
      </c>
      <c r="R50" s="29">
        <f t="shared" si="7"/>
        <v>0.4642939395</v>
      </c>
      <c r="S50" s="29">
        <f t="shared" si="8"/>
        <v>0.2025478734</v>
      </c>
      <c r="T50" s="29">
        <f t="shared" si="9"/>
        <v>0.6115766297</v>
      </c>
      <c r="U50" s="29">
        <f t="shared" si="10"/>
        <v>0.7994118492</v>
      </c>
      <c r="V50" s="87"/>
      <c r="W50" s="39" t="s">
        <v>945</v>
      </c>
      <c r="X50" s="29">
        <f t="shared" si="11"/>
        <v>0.746332282</v>
      </c>
      <c r="Y50" s="73">
        <f t="shared" si="12"/>
        <v>0.8438160292</v>
      </c>
      <c r="Z50" s="68"/>
      <c r="AA50" s="39" t="s">
        <v>946</v>
      </c>
      <c r="AB50" s="74">
        <f t="shared" si="13"/>
        <v>0.5306524072</v>
      </c>
      <c r="AC50" s="57"/>
      <c r="AD50" s="68"/>
      <c r="AE50" s="68"/>
      <c r="AF50" s="68"/>
      <c r="AG50" s="68"/>
      <c r="AH50" s="68"/>
      <c r="AI50" s="68"/>
    </row>
    <row r="51">
      <c r="B51" s="38" t="s">
        <v>947</v>
      </c>
      <c r="C51" s="29">
        <f>IFS('data clean'!C52&lt;=1, 1, 'data clean'!C52&lt;=25, 2, 'data clean'!C52&lt;=50, 3, 'data clean'!C52&lt;=75, 4, TRUE, 5)</f>
        <v>2</v>
      </c>
      <c r="D51" s="29">
        <f>IFS('data clean'!D52&lt;=1, 1, 'data clean'!D52&lt;=25, 2, 'data clean'!D52&lt;=50, 3, 'data clean'!D52&lt;=75, 4, TRUE, 5)</f>
        <v>1</v>
      </c>
      <c r="E51" s="29">
        <f>IFS('data clean'!E52&lt;=1, 1, 'data clean'!E52&lt;=25, 2, 'data clean'!E52&lt;=50, 3, 'data clean'!E52&lt;=75, 4, TRUE, 5)</f>
        <v>2</v>
      </c>
      <c r="F51" s="29">
        <f>IFS('data clean'!F52&lt;=1, 1, 'data clean'!F52&lt;=3, 2, 'data clean'!F52&lt;=5, 3, 'data clean'!F52&lt;=7, 4, TRUE, 5)</f>
        <v>4</v>
      </c>
      <c r="G51" s="29">
        <f>IFS('data clean'!G52&lt;=100, 5, 'data clean'!G52&lt;=200, 4, 'data clean'!G52&lt;=350, 3, 'data clean'!G52&lt;=500, 2, TRUE, 1)</f>
        <v>5</v>
      </c>
      <c r="I51" s="38" t="s">
        <v>948</v>
      </c>
      <c r="J51" s="29">
        <f t="shared" si="1"/>
        <v>0.1439631501</v>
      </c>
      <c r="K51" s="29">
        <f t="shared" si="2"/>
        <v>0.07738232325</v>
      </c>
      <c r="L51" s="29">
        <f t="shared" si="3"/>
        <v>0.1012739367</v>
      </c>
      <c r="M51" s="29">
        <f t="shared" si="4"/>
        <v>0.2038588766</v>
      </c>
      <c r="N51" s="29">
        <f t="shared" si="5"/>
        <v>0.1598823698</v>
      </c>
      <c r="P51" s="38" t="s">
        <v>949</v>
      </c>
      <c r="Q51" s="29">
        <f t="shared" si="6"/>
        <v>0.5758526006</v>
      </c>
      <c r="R51" s="29">
        <f t="shared" si="7"/>
        <v>0.2321469698</v>
      </c>
      <c r="S51" s="29">
        <f t="shared" si="8"/>
        <v>0.2025478734</v>
      </c>
      <c r="T51" s="29">
        <f t="shared" si="9"/>
        <v>0.8154355063</v>
      </c>
      <c r="U51" s="29">
        <f t="shared" si="10"/>
        <v>0.7994118492</v>
      </c>
      <c r="V51" s="87"/>
      <c r="W51" s="38" t="s">
        <v>950</v>
      </c>
      <c r="X51" s="29">
        <f t="shared" si="11"/>
        <v>0.8377336262</v>
      </c>
      <c r="Y51" s="73">
        <f t="shared" si="12"/>
        <v>0.9305511719</v>
      </c>
      <c r="Z51" s="68"/>
      <c r="AA51" s="38" t="s">
        <v>951</v>
      </c>
      <c r="AB51" s="74">
        <f t="shared" si="13"/>
        <v>0.5262450782</v>
      </c>
      <c r="AC51" s="57"/>
      <c r="AD51" s="68"/>
      <c r="AE51" s="68"/>
      <c r="AF51" s="68"/>
      <c r="AG51" s="68"/>
      <c r="AH51" s="68"/>
      <c r="AI51" s="68"/>
    </row>
    <row r="52">
      <c r="B52" s="39" t="s">
        <v>952</v>
      </c>
      <c r="C52" s="29">
        <f>IFS('data clean'!C53&lt;=1, 1, 'data clean'!C53&lt;=25, 2, 'data clean'!C53&lt;=50, 3, 'data clean'!C53&lt;=75, 4, TRUE, 5)</f>
        <v>1</v>
      </c>
      <c r="D52" s="29">
        <f>IFS('data clean'!D53&lt;=1, 1, 'data clean'!D53&lt;=25, 2, 'data clean'!D53&lt;=50, 3, 'data clean'!D53&lt;=75, 4, TRUE, 5)</f>
        <v>1</v>
      </c>
      <c r="E52" s="29">
        <f>IFS('data clean'!E53&lt;=1, 1, 'data clean'!E53&lt;=25, 2, 'data clean'!E53&lt;=50, 3, 'data clean'!E53&lt;=75, 4, TRUE, 5)</f>
        <v>2</v>
      </c>
      <c r="F52" s="29">
        <f>IFS('data clean'!F53&lt;=1, 1, 'data clean'!F53&lt;=3, 2, 'data clean'!F53&lt;=5, 3, 'data clean'!F53&lt;=7, 4, TRUE, 5)</f>
        <v>2</v>
      </c>
      <c r="G52" s="29">
        <f>IFS('data clean'!G53&lt;=100, 5, 'data clean'!G53&lt;=200, 4, 'data clean'!G53&lt;=350, 3, 'data clean'!G53&lt;=500, 2, TRUE, 1)</f>
        <v>5</v>
      </c>
      <c r="I52" s="39" t="s">
        <v>953</v>
      </c>
      <c r="J52" s="29">
        <f t="shared" si="1"/>
        <v>0.07198157507</v>
      </c>
      <c r="K52" s="29">
        <f t="shared" si="2"/>
        <v>0.07738232325</v>
      </c>
      <c r="L52" s="29">
        <f t="shared" si="3"/>
        <v>0.1012739367</v>
      </c>
      <c r="M52" s="29">
        <f t="shared" si="4"/>
        <v>0.1019294383</v>
      </c>
      <c r="N52" s="29">
        <f t="shared" si="5"/>
        <v>0.1598823698</v>
      </c>
      <c r="P52" s="39" t="s">
        <v>954</v>
      </c>
      <c r="Q52" s="29">
        <f t="shared" si="6"/>
        <v>0.2879263003</v>
      </c>
      <c r="R52" s="29">
        <f t="shared" si="7"/>
        <v>0.2321469698</v>
      </c>
      <c r="S52" s="29">
        <f t="shared" si="8"/>
        <v>0.2025478734</v>
      </c>
      <c r="T52" s="29">
        <f t="shared" si="9"/>
        <v>0.4077177532</v>
      </c>
      <c r="U52" s="29">
        <f t="shared" si="10"/>
        <v>0.7994118492</v>
      </c>
      <c r="V52" s="87"/>
      <c r="W52" s="39" t="s">
        <v>955</v>
      </c>
      <c r="X52" s="29">
        <f t="shared" si="11"/>
        <v>1.132682579</v>
      </c>
      <c r="Y52" s="73">
        <f t="shared" si="12"/>
        <v>0.6712349787</v>
      </c>
      <c r="Z52" s="68"/>
      <c r="AA52" s="39" t="s">
        <v>956</v>
      </c>
      <c r="AB52" s="74">
        <f t="shared" si="13"/>
        <v>0.3720984786</v>
      </c>
      <c r="AC52" s="57"/>
      <c r="AD52" s="68"/>
      <c r="AE52" s="68"/>
      <c r="AF52" s="68"/>
      <c r="AG52" s="68"/>
      <c r="AH52" s="68"/>
      <c r="AI52" s="68"/>
    </row>
    <row r="53">
      <c r="B53" s="39" t="s">
        <v>957</v>
      </c>
      <c r="C53" s="29">
        <f>IFS('data clean'!C54&lt;=1, 1, 'data clean'!C54&lt;=25, 2, 'data clean'!C54&lt;=50, 3, 'data clean'!C54&lt;=75, 4, TRUE, 5)</f>
        <v>1</v>
      </c>
      <c r="D53" s="29">
        <f>IFS('data clean'!D54&lt;=1, 1, 'data clean'!D54&lt;=25, 2, 'data clean'!D54&lt;=50, 3, 'data clean'!D54&lt;=75, 4, TRUE, 5)</f>
        <v>1</v>
      </c>
      <c r="E53" s="29">
        <f>IFS('data clean'!E54&lt;=1, 1, 'data clean'!E54&lt;=25, 2, 'data clean'!E54&lt;=50, 3, 'data clean'!E54&lt;=75, 4, TRUE, 5)</f>
        <v>2</v>
      </c>
      <c r="F53" s="29">
        <f>IFS('data clean'!F54&lt;=1, 1, 'data clean'!F54&lt;=3, 2, 'data clean'!F54&lt;=5, 3, 'data clean'!F54&lt;=7, 4, TRUE, 5)</f>
        <v>3</v>
      </c>
      <c r="G53" s="29">
        <f>IFS('data clean'!G54&lt;=100, 5, 'data clean'!G54&lt;=200, 4, 'data clean'!G54&lt;=350, 3, 'data clean'!G54&lt;=500, 2, TRUE, 1)</f>
        <v>5</v>
      </c>
      <c r="I53" s="39" t="s">
        <v>958</v>
      </c>
      <c r="J53" s="29">
        <f t="shared" si="1"/>
        <v>0.07198157507</v>
      </c>
      <c r="K53" s="29">
        <f t="shared" si="2"/>
        <v>0.07738232325</v>
      </c>
      <c r="L53" s="29">
        <f t="shared" si="3"/>
        <v>0.1012739367</v>
      </c>
      <c r="M53" s="29">
        <f t="shared" si="4"/>
        <v>0.1528941574</v>
      </c>
      <c r="N53" s="29">
        <f t="shared" si="5"/>
        <v>0.1598823698</v>
      </c>
      <c r="P53" s="39" t="s">
        <v>959</v>
      </c>
      <c r="Q53" s="29">
        <f t="shared" si="6"/>
        <v>0.2879263003</v>
      </c>
      <c r="R53" s="29">
        <f t="shared" si="7"/>
        <v>0.2321469698</v>
      </c>
      <c r="S53" s="29">
        <f t="shared" si="8"/>
        <v>0.2025478734</v>
      </c>
      <c r="T53" s="29">
        <f t="shared" si="9"/>
        <v>0.6115766297</v>
      </c>
      <c r="U53" s="29">
        <f t="shared" si="10"/>
        <v>0.7994118492</v>
      </c>
      <c r="V53" s="87"/>
      <c r="W53" s="39" t="s">
        <v>960</v>
      </c>
      <c r="X53" s="29">
        <f t="shared" si="11"/>
        <v>1.036907718</v>
      </c>
      <c r="Y53" s="73">
        <f t="shared" si="12"/>
        <v>0.7584403215</v>
      </c>
      <c r="Z53" s="68"/>
      <c r="AA53" s="39" t="s">
        <v>961</v>
      </c>
      <c r="AB53" s="74">
        <f t="shared" si="13"/>
        <v>0.422447517</v>
      </c>
      <c r="AC53" s="57"/>
      <c r="AD53" s="68"/>
      <c r="AE53" s="68"/>
      <c r="AF53" s="68"/>
      <c r="AG53" s="68"/>
      <c r="AH53" s="68"/>
      <c r="AI53" s="68"/>
    </row>
    <row r="54">
      <c r="B54" s="38" t="s">
        <v>962</v>
      </c>
      <c r="C54" s="29">
        <f>IFS('data clean'!C55&lt;=1, 1, 'data clean'!C55&lt;=25, 2, 'data clean'!C55&lt;=50, 3, 'data clean'!C55&lt;=75, 4, TRUE, 5)</f>
        <v>2</v>
      </c>
      <c r="D54" s="29">
        <f>IFS('data clean'!D55&lt;=1, 1, 'data clean'!D55&lt;=25, 2, 'data clean'!D55&lt;=50, 3, 'data clean'!D55&lt;=75, 4, TRUE, 5)</f>
        <v>1</v>
      </c>
      <c r="E54" s="29">
        <f>IFS('data clean'!E55&lt;=1, 1, 'data clean'!E55&lt;=25, 2, 'data clean'!E55&lt;=50, 3, 'data clean'!E55&lt;=75, 4, TRUE, 5)</f>
        <v>2</v>
      </c>
      <c r="F54" s="29">
        <f>IFS('data clean'!F55&lt;=1, 1, 'data clean'!F55&lt;=3, 2, 'data clean'!F55&lt;=5, 3, 'data clean'!F55&lt;=7, 4, TRUE, 5)</f>
        <v>2</v>
      </c>
      <c r="G54" s="29">
        <f>IFS('data clean'!G55&lt;=100, 5, 'data clean'!G55&lt;=200, 4, 'data clean'!G55&lt;=350, 3, 'data clean'!G55&lt;=500, 2, TRUE, 1)</f>
        <v>5</v>
      </c>
      <c r="I54" s="38" t="s">
        <v>963</v>
      </c>
      <c r="J54" s="29">
        <f t="shared" si="1"/>
        <v>0.1439631501</v>
      </c>
      <c r="K54" s="29">
        <f t="shared" si="2"/>
        <v>0.07738232325</v>
      </c>
      <c r="L54" s="29">
        <f t="shared" si="3"/>
        <v>0.1012739367</v>
      </c>
      <c r="M54" s="29">
        <f t="shared" si="4"/>
        <v>0.1019294383</v>
      </c>
      <c r="N54" s="29">
        <f t="shared" si="5"/>
        <v>0.1598823698</v>
      </c>
      <c r="P54" s="38" t="s">
        <v>964</v>
      </c>
      <c r="Q54" s="29">
        <f t="shared" si="6"/>
        <v>0.5758526006</v>
      </c>
      <c r="R54" s="29">
        <f t="shared" si="7"/>
        <v>0.2321469698</v>
      </c>
      <c r="S54" s="29">
        <f t="shared" si="8"/>
        <v>0.2025478734</v>
      </c>
      <c r="T54" s="29">
        <f t="shared" si="9"/>
        <v>0.4077177532</v>
      </c>
      <c r="U54" s="29">
        <f t="shared" si="10"/>
        <v>0.7994118492</v>
      </c>
      <c r="V54" s="87"/>
      <c r="W54" s="38" t="s">
        <v>965</v>
      </c>
      <c r="X54" s="29">
        <f t="shared" si="11"/>
        <v>1.01698828</v>
      </c>
      <c r="Y54" s="73">
        <f t="shared" si="12"/>
        <v>0.7303820582</v>
      </c>
      <c r="Z54" s="68"/>
      <c r="AA54" s="38" t="s">
        <v>966</v>
      </c>
      <c r="AB54" s="74">
        <f t="shared" si="13"/>
        <v>0.4179892736</v>
      </c>
      <c r="AC54" s="57"/>
      <c r="AD54" s="68"/>
      <c r="AE54" s="68"/>
      <c r="AF54" s="68"/>
      <c r="AG54" s="68"/>
      <c r="AH54" s="68"/>
      <c r="AI54" s="68"/>
    </row>
    <row r="55">
      <c r="B55" s="39" t="s">
        <v>967</v>
      </c>
      <c r="C55" s="29">
        <f>IFS('data clean'!C56&lt;=1, 1, 'data clean'!C56&lt;=25, 2, 'data clean'!C56&lt;=50, 3, 'data clean'!C56&lt;=75, 4, TRUE, 5)</f>
        <v>1</v>
      </c>
      <c r="D55" s="29">
        <f>IFS('data clean'!D56&lt;=1, 1, 'data clean'!D56&lt;=25, 2, 'data clean'!D56&lt;=50, 3, 'data clean'!D56&lt;=75, 4, TRUE, 5)</f>
        <v>1</v>
      </c>
      <c r="E55" s="29">
        <f>IFS('data clean'!E56&lt;=1, 1, 'data clean'!E56&lt;=25, 2, 'data clean'!E56&lt;=50, 3, 'data clean'!E56&lt;=75, 4, TRUE, 5)</f>
        <v>2</v>
      </c>
      <c r="F55" s="29">
        <f>IFS('data clean'!F56&lt;=1, 1, 'data clean'!F56&lt;=3, 2, 'data clean'!F56&lt;=5, 3, 'data clean'!F56&lt;=7, 4, TRUE, 5)</f>
        <v>2</v>
      </c>
      <c r="G55" s="29">
        <f>IFS('data clean'!G56&lt;=100, 5, 'data clean'!G56&lt;=200, 4, 'data clean'!G56&lt;=350, 3, 'data clean'!G56&lt;=500, 2, TRUE, 1)</f>
        <v>5</v>
      </c>
      <c r="I55" s="39" t="s">
        <v>968</v>
      </c>
      <c r="J55" s="29">
        <f t="shared" si="1"/>
        <v>0.07198157507</v>
      </c>
      <c r="K55" s="29">
        <f t="shared" si="2"/>
        <v>0.07738232325</v>
      </c>
      <c r="L55" s="29">
        <f t="shared" si="3"/>
        <v>0.1012739367</v>
      </c>
      <c r="M55" s="29">
        <f t="shared" si="4"/>
        <v>0.1019294383</v>
      </c>
      <c r="N55" s="29">
        <f t="shared" si="5"/>
        <v>0.1598823698</v>
      </c>
      <c r="P55" s="39" t="s">
        <v>969</v>
      </c>
      <c r="Q55" s="29">
        <f t="shared" si="6"/>
        <v>0.2879263003</v>
      </c>
      <c r="R55" s="29">
        <f t="shared" si="7"/>
        <v>0.2321469698</v>
      </c>
      <c r="S55" s="29">
        <f t="shared" si="8"/>
        <v>0.2025478734</v>
      </c>
      <c r="T55" s="29">
        <f t="shared" si="9"/>
        <v>0.4077177532</v>
      </c>
      <c r="U55" s="29">
        <f t="shared" si="10"/>
        <v>0.7994118492</v>
      </c>
      <c r="V55" s="87"/>
      <c r="W55" s="39" t="s">
        <v>970</v>
      </c>
      <c r="X55" s="29">
        <f t="shared" si="11"/>
        <v>1.132682579</v>
      </c>
      <c r="Y55" s="73">
        <f t="shared" si="12"/>
        <v>0.6712349787</v>
      </c>
      <c r="Z55" s="68"/>
      <c r="AA55" s="39" t="s">
        <v>971</v>
      </c>
      <c r="AB55" s="74">
        <f t="shared" si="13"/>
        <v>0.3720984786</v>
      </c>
      <c r="AC55" s="57"/>
      <c r="AD55" s="68"/>
      <c r="AE55" s="68"/>
      <c r="AF55" s="68"/>
      <c r="AG55" s="68"/>
      <c r="AH55" s="68"/>
      <c r="AI55" s="68"/>
    </row>
    <row r="56">
      <c r="B56" s="39" t="s">
        <v>972</v>
      </c>
      <c r="C56" s="29">
        <f>IFS('data clean'!C57&lt;=1, 1, 'data clean'!C57&lt;=25, 2, 'data clean'!C57&lt;=50, 3, 'data clean'!C57&lt;=75, 4, TRUE, 5)</f>
        <v>2</v>
      </c>
      <c r="D56" s="29">
        <f>IFS('data clean'!D57&lt;=1, 1, 'data clean'!D57&lt;=25, 2, 'data clean'!D57&lt;=50, 3, 'data clean'!D57&lt;=75, 4, TRUE, 5)</f>
        <v>1</v>
      </c>
      <c r="E56" s="29">
        <f>IFS('data clean'!E57&lt;=1, 1, 'data clean'!E57&lt;=25, 2, 'data clean'!E57&lt;=50, 3, 'data clean'!E57&lt;=75, 4, TRUE, 5)</f>
        <v>2</v>
      </c>
      <c r="F56" s="29">
        <f>IFS('data clean'!F57&lt;=1, 1, 'data clean'!F57&lt;=3, 2, 'data clean'!F57&lt;=5, 3, 'data clean'!F57&lt;=7, 4, TRUE, 5)</f>
        <v>3</v>
      </c>
      <c r="G56" s="29">
        <f>IFS('data clean'!G57&lt;=100, 5, 'data clean'!G57&lt;=200, 4, 'data clean'!G57&lt;=350, 3, 'data clean'!G57&lt;=500, 2, TRUE, 1)</f>
        <v>3</v>
      </c>
      <c r="I56" s="39" t="s">
        <v>973</v>
      </c>
      <c r="J56" s="29">
        <f t="shared" si="1"/>
        <v>0.1439631501</v>
      </c>
      <c r="K56" s="29">
        <f t="shared" si="2"/>
        <v>0.07738232325</v>
      </c>
      <c r="L56" s="29">
        <f t="shared" si="3"/>
        <v>0.1012739367</v>
      </c>
      <c r="M56" s="29">
        <f t="shared" si="4"/>
        <v>0.1528941574</v>
      </c>
      <c r="N56" s="29">
        <f t="shared" si="5"/>
        <v>0.09592942191</v>
      </c>
      <c r="P56" s="39" t="s">
        <v>974</v>
      </c>
      <c r="Q56" s="29">
        <f t="shared" si="6"/>
        <v>0.5758526006</v>
      </c>
      <c r="R56" s="29">
        <f t="shared" si="7"/>
        <v>0.2321469698</v>
      </c>
      <c r="S56" s="29">
        <f t="shared" si="8"/>
        <v>0.2025478734</v>
      </c>
      <c r="T56" s="29">
        <f t="shared" si="9"/>
        <v>0.6115766297</v>
      </c>
      <c r="U56" s="29">
        <f t="shared" si="10"/>
        <v>0.4796471095</v>
      </c>
      <c r="V56" s="87"/>
      <c r="W56" s="39" t="s">
        <v>975</v>
      </c>
      <c r="X56" s="29">
        <f t="shared" si="11"/>
        <v>0.9637024654</v>
      </c>
      <c r="Y56" s="73">
        <f t="shared" si="12"/>
        <v>0.5927772005</v>
      </c>
      <c r="Z56" s="68"/>
      <c r="AA56" s="39" t="s">
        <v>976</v>
      </c>
      <c r="AB56" s="74">
        <f t="shared" si="13"/>
        <v>0.3808448086</v>
      </c>
      <c r="AC56" s="57"/>
      <c r="AD56" s="68"/>
      <c r="AE56" s="68"/>
      <c r="AF56" s="68"/>
      <c r="AG56" s="68"/>
      <c r="AH56" s="68"/>
      <c r="AI56" s="68"/>
    </row>
    <row r="57">
      <c r="B57" s="39" t="s">
        <v>977</v>
      </c>
      <c r="C57" s="29">
        <f>IFS('data clean'!C58&lt;=1, 1, 'data clean'!C58&lt;=25, 2, 'data clean'!C58&lt;=50, 3, 'data clean'!C58&lt;=75, 4, TRUE, 5)</f>
        <v>2</v>
      </c>
      <c r="D57" s="29">
        <f>IFS('data clean'!D58&lt;=1, 1, 'data clean'!D58&lt;=25, 2, 'data clean'!D58&lt;=50, 3, 'data clean'!D58&lt;=75, 4, TRUE, 5)</f>
        <v>1</v>
      </c>
      <c r="E57" s="29">
        <f>IFS('data clean'!E58&lt;=1, 1, 'data clean'!E58&lt;=25, 2, 'data clean'!E58&lt;=50, 3, 'data clean'!E58&lt;=75, 4, TRUE, 5)</f>
        <v>2</v>
      </c>
      <c r="F57" s="29">
        <f>IFS('data clean'!F58&lt;=1, 1, 'data clean'!F58&lt;=3, 2, 'data clean'!F58&lt;=5, 3, 'data clean'!F58&lt;=7, 4, TRUE, 5)</f>
        <v>3</v>
      </c>
      <c r="G57" s="29">
        <f>IFS('data clean'!G58&lt;=100, 5, 'data clean'!G58&lt;=200, 4, 'data clean'!G58&lt;=350, 3, 'data clean'!G58&lt;=500, 2, TRUE, 1)</f>
        <v>5</v>
      </c>
      <c r="I57" s="39" t="s">
        <v>978</v>
      </c>
      <c r="J57" s="29">
        <f t="shared" si="1"/>
        <v>0.1439631501</v>
      </c>
      <c r="K57" s="29">
        <f t="shared" si="2"/>
        <v>0.07738232325</v>
      </c>
      <c r="L57" s="29">
        <f t="shared" si="3"/>
        <v>0.1012739367</v>
      </c>
      <c r="M57" s="29">
        <f t="shared" si="4"/>
        <v>0.1528941574</v>
      </c>
      <c r="N57" s="29">
        <f t="shared" si="5"/>
        <v>0.1598823698</v>
      </c>
      <c r="P57" s="39" t="s">
        <v>979</v>
      </c>
      <c r="Q57" s="29">
        <f t="shared" si="6"/>
        <v>0.5758526006</v>
      </c>
      <c r="R57" s="29">
        <f t="shared" si="7"/>
        <v>0.2321469698</v>
      </c>
      <c r="S57" s="29">
        <f t="shared" si="8"/>
        <v>0.2025478734</v>
      </c>
      <c r="T57" s="29">
        <f t="shared" si="9"/>
        <v>0.6115766297</v>
      </c>
      <c r="U57" s="29">
        <f t="shared" si="10"/>
        <v>0.7994118492</v>
      </c>
      <c r="V57" s="87"/>
      <c r="W57" s="39" t="s">
        <v>980</v>
      </c>
      <c r="X57" s="29">
        <f t="shared" si="11"/>
        <v>0.9091055786</v>
      </c>
      <c r="Y57" s="73">
        <f t="shared" si="12"/>
        <v>0.8112541375</v>
      </c>
      <c r="Z57" s="68"/>
      <c r="AA57" s="39" t="s">
        <v>981</v>
      </c>
      <c r="AB57" s="74">
        <f t="shared" si="13"/>
        <v>0.4715607613</v>
      </c>
      <c r="AC57" s="57"/>
      <c r="AD57" s="68"/>
      <c r="AE57" s="68"/>
      <c r="AF57" s="68"/>
      <c r="AG57" s="68"/>
      <c r="AH57" s="68"/>
      <c r="AI57" s="68"/>
    </row>
    <row r="58">
      <c r="B58" s="11"/>
      <c r="C58" s="87"/>
      <c r="D58" s="87"/>
      <c r="E58" s="87"/>
      <c r="F58" s="87"/>
      <c r="G58" s="87"/>
      <c r="I58" s="11"/>
      <c r="J58" s="87"/>
      <c r="K58" s="87"/>
      <c r="L58" s="87"/>
      <c r="M58" s="87"/>
      <c r="N58" s="87"/>
      <c r="P58" s="11"/>
      <c r="Q58" s="87"/>
      <c r="R58" s="87"/>
      <c r="S58" s="87"/>
      <c r="T58" s="87"/>
      <c r="U58" s="87"/>
      <c r="V58" s="87"/>
      <c r="W58" s="11"/>
      <c r="X58" s="87"/>
      <c r="Y58" s="87"/>
      <c r="Z58" s="68"/>
      <c r="AA58" s="89"/>
      <c r="AB58" s="72"/>
      <c r="AC58" s="57"/>
      <c r="AD58" s="68"/>
      <c r="AE58" s="68"/>
      <c r="AF58" s="68"/>
      <c r="AG58" s="68"/>
      <c r="AH58" s="68"/>
      <c r="AI58" s="68"/>
    </row>
    <row r="59">
      <c r="AC59" s="57"/>
    </row>
    <row r="60">
      <c r="B60" s="36" t="s">
        <v>307</v>
      </c>
      <c r="C60" s="82">
        <f t="shared" ref="C60:G60" si="14">SUMPRODUCT(C6:C57^2)</f>
        <v>193</v>
      </c>
      <c r="D60" s="82">
        <f t="shared" si="14"/>
        <v>167</v>
      </c>
      <c r="E60" s="82">
        <f t="shared" si="14"/>
        <v>390</v>
      </c>
      <c r="F60" s="82">
        <f t="shared" si="14"/>
        <v>385</v>
      </c>
      <c r="G60" s="82">
        <f t="shared" si="14"/>
        <v>978</v>
      </c>
      <c r="P60" s="36" t="s">
        <v>308</v>
      </c>
      <c r="Q60" s="82">
        <f t="shared" ref="Q60:U60" si="15">MAX(Q6:Q57)</f>
        <v>0.8637789009</v>
      </c>
      <c r="R60" s="82">
        <f t="shared" si="15"/>
        <v>0.928587879</v>
      </c>
      <c r="S60" s="82">
        <f t="shared" si="15"/>
        <v>0.5063696835</v>
      </c>
      <c r="T60" s="82">
        <f t="shared" si="15"/>
        <v>1.019294383</v>
      </c>
      <c r="U60" s="82">
        <f t="shared" si="15"/>
        <v>0.7994118492</v>
      </c>
    </row>
    <row r="61">
      <c r="B61" s="36" t="s">
        <v>307</v>
      </c>
      <c r="C61" s="82">
        <f t="shared" ref="C61:G61" si="16">SQRT(SUMPRODUCT(C6:C57^2))</f>
        <v>13.89244399</v>
      </c>
      <c r="D61" s="82">
        <f t="shared" si="16"/>
        <v>12.92284798</v>
      </c>
      <c r="E61" s="82">
        <f t="shared" si="16"/>
        <v>19.74841766</v>
      </c>
      <c r="F61" s="82">
        <f t="shared" si="16"/>
        <v>19.62141687</v>
      </c>
      <c r="G61" s="82">
        <f t="shared" si="16"/>
        <v>31.27299154</v>
      </c>
      <c r="P61" s="36" t="s">
        <v>309</v>
      </c>
      <c r="Q61" s="82">
        <f t="shared" ref="Q61:U61" si="17">MIN(Q6:Q57)</f>
        <v>0.2879263003</v>
      </c>
      <c r="R61" s="82">
        <f t="shared" si="17"/>
        <v>0.2321469698</v>
      </c>
      <c r="S61" s="82">
        <f t="shared" si="17"/>
        <v>0.2025478734</v>
      </c>
      <c r="T61" s="82">
        <f t="shared" si="17"/>
        <v>0.2038588766</v>
      </c>
      <c r="U61" s="82">
        <f t="shared" si="17"/>
        <v>0.1598823698</v>
      </c>
    </row>
  </sheetData>
  <mergeCells count="6">
    <mergeCell ref="B2:G3"/>
    <mergeCell ref="I2:N3"/>
    <mergeCell ref="P2:U3"/>
    <mergeCell ref="W2:Y3"/>
    <mergeCell ref="AA2:AB3"/>
    <mergeCell ref="AD6:AE6"/>
  </mergeCells>
  <hyperlinks>
    <hyperlink r:id="rId1" location="Tabel%20TKPI" ref="B4"/>
    <hyperlink r:id="rId2" location="Tabel%20TKPI" ref="C4"/>
    <hyperlink r:id="rId3" location="Tabel%20TKPI" ref="D4"/>
    <hyperlink r:id="rId4" location="Tabel%20TKPI" ref="E4"/>
    <hyperlink r:id="rId5" location="Tabel%20TKPI" ref="F4"/>
    <hyperlink r:id="rId6" location="Tabel%20TKPI" ref="G4"/>
    <hyperlink r:id="rId7" location="Tabel%20TKPI" ref="I4"/>
    <hyperlink r:id="rId8" location="Tabel%20TKPI" ref="J4"/>
    <hyperlink r:id="rId9" location="Tabel%20TKPI" ref="K4"/>
    <hyperlink r:id="rId10" location="Tabel%20TKPI" ref="L4"/>
    <hyperlink r:id="rId11" location="Tabel%20TKPI" ref="M4"/>
    <hyperlink r:id="rId12" location="Tabel%20TKPI" ref="N4"/>
    <hyperlink r:id="rId13" location="Tabel%20TKPI" ref="P4"/>
    <hyperlink r:id="rId14" location="Tabel%20TKPI" ref="Q4"/>
    <hyperlink r:id="rId15" location="Tabel%20TKPI" ref="R4"/>
    <hyperlink r:id="rId16" location="Tabel%20TKPI" ref="S4"/>
    <hyperlink r:id="rId17" location="Tabel%20TKPI" ref="T4"/>
    <hyperlink r:id="rId18" location="Tabel%20TKPI" ref="U4"/>
    <hyperlink r:id="rId19" location="Tabel%20TKPI" ref="W4"/>
    <hyperlink r:id="rId20" location="Tabel%20TKPI" ref="AA4"/>
    <hyperlink r:id="rId21" location="AndraFarm" ref="B6"/>
    <hyperlink r:id="rId22" location="AndraFarm" ref="I6"/>
    <hyperlink r:id="rId23" location="AndraFarm" ref="P6"/>
    <hyperlink r:id="rId24" location="AndraFarm" ref="W6"/>
    <hyperlink r:id="rId25" location="AndraFarm" ref="AA6"/>
    <hyperlink r:id="rId26" location="AndraFarm" ref="B7"/>
    <hyperlink r:id="rId27" location="AndraFarm" ref="I7"/>
    <hyperlink r:id="rId28" location="AndraFarm" ref="P7"/>
    <hyperlink r:id="rId29" location="AndraFarm" ref="W7"/>
    <hyperlink r:id="rId30" location="AndraFarm" ref="AA7"/>
    <hyperlink r:id="rId31" location="AndraFarm" ref="B8"/>
    <hyperlink r:id="rId32" location="AndraFarm" ref="I8"/>
    <hyperlink r:id="rId33" location="AndraFarm" ref="P8"/>
    <hyperlink r:id="rId34" location="AndraFarm" ref="W8"/>
    <hyperlink r:id="rId35" location="AndraFarm" ref="AA8"/>
    <hyperlink r:id="rId36" location="AndraFarm" ref="AD8"/>
    <hyperlink r:id="rId37" location="AndraFarm" ref="B9"/>
    <hyperlink r:id="rId38" location="AndraFarm" ref="I9"/>
    <hyperlink r:id="rId39" location="AndraFarm" ref="P9"/>
    <hyperlink r:id="rId40" location="AndraFarm" ref="W9"/>
    <hyperlink r:id="rId41" location="AndraFarm" ref="AA9"/>
    <hyperlink r:id="rId42" location="AndraFarm" ref="AD9"/>
    <hyperlink r:id="rId43" location="AndraFarm" ref="B10"/>
    <hyperlink r:id="rId44" location="AndraFarm" ref="I10"/>
    <hyperlink r:id="rId45" location="AndraFarm" ref="P10"/>
    <hyperlink r:id="rId46" location="AndraFarm" ref="W10"/>
    <hyperlink r:id="rId47" location="AndraFarm" ref="AA10"/>
    <hyperlink r:id="rId48" location="AndraFarm" ref="AD10"/>
    <hyperlink r:id="rId49" location="AndraFarm" ref="B11"/>
    <hyperlink r:id="rId50" location="AndraFarm" ref="I11"/>
    <hyperlink r:id="rId51" location="AndraFarm" ref="P11"/>
    <hyperlink r:id="rId52" location="AndraFarm" ref="W11"/>
    <hyperlink r:id="rId53" location="AndraFarm" ref="AA11"/>
    <hyperlink r:id="rId54" location="AndraFarm" ref="AD11"/>
    <hyperlink r:id="rId55" location="AndraFarm" ref="B12"/>
    <hyperlink r:id="rId56" location="AndraFarm" ref="I12"/>
    <hyperlink r:id="rId57" location="AndraFarm" ref="P12"/>
    <hyperlink r:id="rId58" location="AndraFarm" ref="W12"/>
    <hyperlink r:id="rId59" location="AndraFarm" ref="AA12"/>
    <hyperlink r:id="rId60" location="AndraFarm" ref="B13"/>
    <hyperlink r:id="rId61" location="AndraFarm" ref="I13"/>
    <hyperlink r:id="rId62" location="AndraFarm" ref="P13"/>
    <hyperlink r:id="rId63" location="AndraFarm" ref="W13"/>
    <hyperlink r:id="rId64" location="AndraFarm" ref="AA13"/>
    <hyperlink r:id="rId65" location="AndraFarm" ref="B14"/>
    <hyperlink r:id="rId66" location="AndraFarm" ref="I14"/>
    <hyperlink r:id="rId67" location="AndraFarm" ref="P14"/>
    <hyperlink r:id="rId68" location="AndraFarm" ref="W14"/>
    <hyperlink r:id="rId69" location="AndraFarm" ref="AA14"/>
    <hyperlink r:id="rId70" location="AndraFarm" ref="B15"/>
    <hyperlink r:id="rId71" location="AndraFarm" ref="I15"/>
    <hyperlink r:id="rId72" location="AndraFarm" ref="P15"/>
    <hyperlink r:id="rId73" location="AndraFarm" ref="W15"/>
    <hyperlink r:id="rId74" location="AndraFarm" ref="AA15"/>
    <hyperlink r:id="rId75" location="AndraFarm" ref="B16"/>
    <hyperlink r:id="rId76" location="AndraFarm" ref="I16"/>
    <hyperlink r:id="rId77" location="AndraFarm" ref="P16"/>
    <hyperlink r:id="rId78" location="AndraFarm" ref="W16"/>
    <hyperlink r:id="rId79" location="AndraFarm" ref="AA16"/>
    <hyperlink r:id="rId80" location="AndraFarm" ref="B17"/>
    <hyperlink r:id="rId81" location="AndraFarm" ref="I17"/>
    <hyperlink r:id="rId82" location="AndraFarm" ref="P17"/>
    <hyperlink r:id="rId83" location="AndraFarm" ref="W17"/>
    <hyperlink r:id="rId84" location="AndraFarm" ref="AA17"/>
    <hyperlink r:id="rId85" location="AndraFarm" ref="B18"/>
    <hyperlink r:id="rId86" location="AndraFarm" ref="I18"/>
    <hyperlink r:id="rId87" location="AndraFarm" ref="P18"/>
    <hyperlink r:id="rId88" location="AndraFarm" ref="W18"/>
    <hyperlink r:id="rId89" location="AndraFarm" ref="AA18"/>
    <hyperlink r:id="rId90" location="AndraFarm" ref="B19"/>
    <hyperlink r:id="rId91" location="AndraFarm" ref="I19"/>
    <hyperlink r:id="rId92" location="AndraFarm" ref="P19"/>
    <hyperlink r:id="rId93" location="AndraFarm" ref="W19"/>
    <hyperlink r:id="rId94" location="AndraFarm" ref="AA19"/>
    <hyperlink r:id="rId95" location="AndraFarm" ref="B20"/>
    <hyperlink r:id="rId96" location="AndraFarm" ref="I20"/>
    <hyperlink r:id="rId97" location="AndraFarm" ref="P20"/>
    <hyperlink r:id="rId98" location="AndraFarm" ref="W20"/>
    <hyperlink r:id="rId99" location="AndraFarm" ref="AA20"/>
    <hyperlink r:id="rId100" location="AndraFarm" ref="B21"/>
    <hyperlink r:id="rId101" location="AndraFarm" ref="I21"/>
    <hyperlink r:id="rId102" location="AndraFarm" ref="P21"/>
    <hyperlink r:id="rId103" location="AndraFarm" ref="W21"/>
    <hyperlink r:id="rId104" location="AndraFarm" ref="AA21"/>
    <hyperlink r:id="rId105" location="AndraFarm" ref="B22"/>
    <hyperlink r:id="rId106" location="AndraFarm" ref="I22"/>
    <hyperlink r:id="rId107" location="AndraFarm" ref="P22"/>
    <hyperlink r:id="rId108" location="AndraFarm" ref="W22"/>
    <hyperlink r:id="rId109" location="AndraFarm" ref="AA22"/>
    <hyperlink r:id="rId110" location="AndraFarm" ref="B23"/>
    <hyperlink r:id="rId111" location="AndraFarm" ref="I23"/>
    <hyperlink r:id="rId112" location="AndraFarm" ref="P23"/>
    <hyperlink r:id="rId113" location="AndraFarm" ref="W23"/>
    <hyperlink r:id="rId114" location="AndraFarm" ref="AA23"/>
    <hyperlink r:id="rId115" location="AndraFarm" ref="B24"/>
    <hyperlink r:id="rId116" location="AndraFarm" ref="I24"/>
    <hyperlink r:id="rId117" location="AndraFarm" ref="P24"/>
    <hyperlink r:id="rId118" location="AndraFarm" ref="W24"/>
    <hyperlink r:id="rId119" location="AndraFarm" ref="AA24"/>
    <hyperlink r:id="rId120" location="AndraFarm" ref="B25"/>
    <hyperlink r:id="rId121" location="AndraFarm" ref="I25"/>
    <hyperlink r:id="rId122" location="AndraFarm" ref="P25"/>
    <hyperlink r:id="rId123" location="AndraFarm" ref="W25"/>
    <hyperlink r:id="rId124" location="AndraFarm" ref="AA25"/>
    <hyperlink r:id="rId125" location="AndraFarm" ref="B26"/>
    <hyperlink r:id="rId126" location="AndraFarm" ref="I26"/>
    <hyperlink r:id="rId127" location="AndraFarm" ref="P26"/>
    <hyperlink r:id="rId128" location="AndraFarm" ref="W26"/>
    <hyperlink r:id="rId129" location="AndraFarm" ref="AA26"/>
    <hyperlink r:id="rId130" location="AndraFarm" ref="B27"/>
    <hyperlink r:id="rId131" location="AndraFarm" ref="I27"/>
    <hyperlink r:id="rId132" location="AndraFarm" ref="P27"/>
    <hyperlink r:id="rId133" location="AndraFarm" ref="W27"/>
    <hyperlink r:id="rId134" location="AndraFarm" ref="AA27"/>
    <hyperlink r:id="rId135" location="AndraFarm" ref="B28"/>
    <hyperlink r:id="rId136" location="AndraFarm" ref="I28"/>
    <hyperlink r:id="rId137" location="AndraFarm" ref="P28"/>
    <hyperlink r:id="rId138" location="AndraFarm" ref="W28"/>
    <hyperlink r:id="rId139" location="AndraFarm" ref="AA28"/>
    <hyperlink r:id="rId140" location="AndraFarm" ref="B29"/>
    <hyperlink r:id="rId141" location="AndraFarm" ref="I29"/>
    <hyperlink r:id="rId142" location="AndraFarm" ref="P29"/>
    <hyperlink r:id="rId143" location="AndraFarm" ref="W29"/>
    <hyperlink r:id="rId144" location="AndraFarm" ref="AA29"/>
    <hyperlink r:id="rId145" location="AndraFarm" ref="B30"/>
    <hyperlink r:id="rId146" location="AndraFarm" ref="I30"/>
    <hyperlink r:id="rId147" location="AndraFarm" ref="P30"/>
    <hyperlink r:id="rId148" location="AndraFarm" ref="W30"/>
    <hyperlink r:id="rId149" location="AndraFarm" ref="AA30"/>
    <hyperlink r:id="rId150" location="AndraFarm" ref="B31"/>
    <hyperlink r:id="rId151" location="AndraFarm" ref="I31"/>
    <hyperlink r:id="rId152" location="AndraFarm" ref="P31"/>
    <hyperlink r:id="rId153" location="AndraFarm" ref="W31"/>
    <hyperlink r:id="rId154" location="AndraFarm" ref="AA31"/>
    <hyperlink r:id="rId155" location="AndraFarm" ref="B32"/>
    <hyperlink r:id="rId156" location="AndraFarm" ref="I32"/>
    <hyperlink r:id="rId157" location="AndraFarm" ref="P32"/>
    <hyperlink r:id="rId158" location="AndraFarm" ref="W32"/>
    <hyperlink r:id="rId159" location="AndraFarm" ref="AA32"/>
    <hyperlink r:id="rId160" location="AndraFarm" ref="B33"/>
    <hyperlink r:id="rId161" location="AndraFarm" ref="I33"/>
    <hyperlink r:id="rId162" location="AndraFarm" ref="P33"/>
    <hyperlink r:id="rId163" location="AndraFarm" ref="W33"/>
    <hyperlink r:id="rId164" location="AndraFarm" ref="AA33"/>
    <hyperlink r:id="rId165" location="AndraFarm" ref="B34"/>
    <hyperlink r:id="rId166" location="AndraFarm" ref="I34"/>
    <hyperlink r:id="rId167" location="AndraFarm" ref="P34"/>
    <hyperlink r:id="rId168" location="AndraFarm" ref="W34"/>
    <hyperlink r:id="rId169" location="AndraFarm" ref="AA34"/>
    <hyperlink r:id="rId170" location="AndraFarm" ref="B35"/>
    <hyperlink r:id="rId171" location="AndraFarm" ref="I35"/>
    <hyperlink r:id="rId172" location="AndraFarm" ref="P35"/>
    <hyperlink r:id="rId173" location="AndraFarm" ref="W35"/>
    <hyperlink r:id="rId174" location="AndraFarm" ref="AA35"/>
    <hyperlink r:id="rId175" location="AndraFarm" ref="B36"/>
    <hyperlink r:id="rId176" location="AndraFarm" ref="I36"/>
    <hyperlink r:id="rId177" location="AndraFarm" ref="P36"/>
    <hyperlink r:id="rId178" location="AndraFarm" ref="W36"/>
    <hyperlink r:id="rId179" location="AndraFarm" ref="AA36"/>
    <hyperlink r:id="rId180" location="AndraFarm" ref="B37"/>
    <hyperlink r:id="rId181" location="AndraFarm" ref="I37"/>
    <hyperlink r:id="rId182" location="AndraFarm" ref="P37"/>
    <hyperlink r:id="rId183" location="AndraFarm" ref="W37"/>
    <hyperlink r:id="rId184" location="AndraFarm" ref="AA37"/>
    <hyperlink r:id="rId185" location="AndraFarm" ref="B38"/>
    <hyperlink r:id="rId186" location="AndraFarm" ref="I38"/>
    <hyperlink r:id="rId187" location="AndraFarm" ref="P38"/>
    <hyperlink r:id="rId188" location="AndraFarm" ref="W38"/>
    <hyperlink r:id="rId189" location="AndraFarm" ref="AA38"/>
    <hyperlink r:id="rId190" location="AndraFarm" ref="B39"/>
    <hyperlink r:id="rId191" location="AndraFarm" ref="I39"/>
    <hyperlink r:id="rId192" location="AndraFarm" ref="P39"/>
    <hyperlink r:id="rId193" location="AndraFarm" ref="W39"/>
    <hyperlink r:id="rId194" location="AndraFarm" ref="AA39"/>
    <hyperlink r:id="rId195" location="AndraFarm" ref="B40"/>
    <hyperlink r:id="rId196" location="AndraFarm" ref="I40"/>
    <hyperlink r:id="rId197" location="AndraFarm" ref="P40"/>
    <hyperlink r:id="rId198" location="AndraFarm" ref="W40"/>
    <hyperlink r:id="rId199" location="AndraFarm" ref="AA40"/>
    <hyperlink r:id="rId200" location="AndraFarm" ref="B41"/>
    <hyperlink r:id="rId201" location="AndraFarm" ref="I41"/>
    <hyperlink r:id="rId202" location="AndraFarm" ref="P41"/>
    <hyperlink r:id="rId203" location="AndraFarm" ref="W41"/>
    <hyperlink r:id="rId204" location="AndraFarm" ref="AA41"/>
    <hyperlink r:id="rId205" location="AndraFarm" ref="B42"/>
    <hyperlink r:id="rId206" location="AndraFarm" ref="I42"/>
    <hyperlink r:id="rId207" location="AndraFarm" ref="P42"/>
    <hyperlink r:id="rId208" location="AndraFarm" ref="W42"/>
    <hyperlink r:id="rId209" location="AndraFarm" ref="AA42"/>
    <hyperlink r:id="rId210" location="AndraFarm" ref="B43"/>
    <hyperlink r:id="rId211" location="AndraFarm" ref="I43"/>
    <hyperlink r:id="rId212" location="AndraFarm" ref="P43"/>
    <hyperlink r:id="rId213" location="AndraFarm" ref="W43"/>
    <hyperlink r:id="rId214" location="AndraFarm" ref="AA43"/>
    <hyperlink r:id="rId215" location="AndraFarm" ref="B44"/>
    <hyperlink r:id="rId216" location="AndraFarm" ref="I44"/>
    <hyperlink r:id="rId217" location="AndraFarm" ref="P44"/>
    <hyperlink r:id="rId218" location="AndraFarm" ref="W44"/>
    <hyperlink r:id="rId219" location="AndraFarm" ref="AA44"/>
    <hyperlink r:id="rId220" location="AndraFarm" ref="B45"/>
    <hyperlink r:id="rId221" location="AndraFarm" ref="I45"/>
    <hyperlink r:id="rId222" location="AndraFarm" ref="P45"/>
    <hyperlink r:id="rId223" location="AndraFarm" ref="W45"/>
    <hyperlink r:id="rId224" location="AndraFarm" ref="AA45"/>
    <hyperlink r:id="rId225" location="AndraFarm" ref="B46"/>
    <hyperlink r:id="rId226" location="AndraFarm" ref="I46"/>
    <hyperlink r:id="rId227" location="AndraFarm" ref="P46"/>
    <hyperlink r:id="rId228" location="AndraFarm" ref="W46"/>
    <hyperlink r:id="rId229" location="AndraFarm" ref="AA46"/>
    <hyperlink r:id="rId230" location="AndraFarm" ref="B47"/>
    <hyperlink r:id="rId231" location="AndraFarm" ref="I47"/>
    <hyperlink r:id="rId232" location="AndraFarm" ref="P47"/>
    <hyperlink r:id="rId233" location="AndraFarm" ref="W47"/>
    <hyperlink r:id="rId234" location="AndraFarm" ref="AA47"/>
    <hyperlink r:id="rId235" location="AndraFarm" ref="B48"/>
    <hyperlink r:id="rId236" location="AndraFarm" ref="I48"/>
    <hyperlink r:id="rId237" location="AndraFarm" ref="P48"/>
    <hyperlink r:id="rId238" location="AndraFarm" ref="W48"/>
    <hyperlink r:id="rId239" location="AndraFarm" ref="AA48"/>
    <hyperlink r:id="rId240" location="AndraFarm" ref="B49"/>
    <hyperlink r:id="rId241" location="AndraFarm" ref="I49"/>
    <hyperlink r:id="rId242" location="AndraFarm" ref="P49"/>
    <hyperlink r:id="rId243" location="AndraFarm" ref="W49"/>
    <hyperlink r:id="rId244" location="AndraFarm" ref="AA49"/>
    <hyperlink r:id="rId245" location="AndraFarm" ref="B50"/>
    <hyperlink r:id="rId246" location="AndraFarm" ref="I50"/>
    <hyperlink r:id="rId247" location="AndraFarm" ref="P50"/>
    <hyperlink r:id="rId248" location="AndraFarm" ref="W50"/>
    <hyperlink r:id="rId249" location="AndraFarm" ref="AA50"/>
    <hyperlink r:id="rId250" location="AndraFarm" ref="B51"/>
    <hyperlink r:id="rId251" location="AndraFarm" ref="I51"/>
    <hyperlink r:id="rId252" location="AndraFarm" ref="P51"/>
    <hyperlink r:id="rId253" location="AndraFarm" ref="W51"/>
    <hyperlink r:id="rId254" location="AndraFarm" ref="AA51"/>
    <hyperlink r:id="rId255" location="AndraFarm" ref="B52"/>
    <hyperlink r:id="rId256" location="AndraFarm" ref="I52"/>
    <hyperlink r:id="rId257" location="AndraFarm" ref="P52"/>
    <hyperlink r:id="rId258" location="AndraFarm" ref="W52"/>
    <hyperlink r:id="rId259" location="AndraFarm" ref="AA52"/>
    <hyperlink r:id="rId260" location="AndraFarm" ref="B53"/>
    <hyperlink r:id="rId261" location="AndraFarm" ref="I53"/>
    <hyperlink r:id="rId262" location="AndraFarm" ref="P53"/>
    <hyperlink r:id="rId263" location="AndraFarm" ref="W53"/>
    <hyperlink r:id="rId264" location="AndraFarm" ref="AA53"/>
    <hyperlink r:id="rId265" location="AndraFarm" ref="B54"/>
    <hyperlink r:id="rId266" location="AndraFarm" ref="I54"/>
    <hyperlink r:id="rId267" location="AndraFarm" ref="P54"/>
    <hyperlink r:id="rId268" location="AndraFarm" ref="W54"/>
    <hyperlink r:id="rId269" location="AndraFarm" ref="AA54"/>
    <hyperlink r:id="rId270" location="AndraFarm" ref="B55"/>
    <hyperlink r:id="rId271" location="AndraFarm" ref="I55"/>
    <hyperlink r:id="rId272" location="AndraFarm" ref="P55"/>
    <hyperlink r:id="rId273" location="AndraFarm" ref="W55"/>
    <hyperlink r:id="rId274" location="AndraFarm" ref="AA55"/>
    <hyperlink r:id="rId275" location="AndraFarm" ref="B56"/>
    <hyperlink r:id="rId276" location="AndraFarm" ref="I56"/>
    <hyperlink r:id="rId277" location="AndraFarm" ref="P56"/>
    <hyperlink r:id="rId278" location="AndraFarm" ref="W56"/>
    <hyperlink r:id="rId279" location="AndraFarm" ref="AA56"/>
    <hyperlink r:id="rId280" location="AndraFarm" ref="B57"/>
    <hyperlink r:id="rId281" location="AndraFarm" ref="I57"/>
    <hyperlink r:id="rId282" location="AndraFarm" ref="P57"/>
    <hyperlink r:id="rId283" location="AndraFarm" ref="W57"/>
    <hyperlink r:id="rId284" location="AndraFarm" ref="AA57"/>
  </hyperlink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28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7.88"/>
    <col customWidth="1" min="2" max="2" width="19.0"/>
    <col customWidth="1" min="3" max="3" width="15.25"/>
  </cols>
  <sheetData>
    <row r="1">
      <c r="A1" s="90" t="s">
        <v>982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>
      <c r="A3" s="92" t="s">
        <v>983</v>
      </c>
      <c r="B3" s="92" t="s">
        <v>984</v>
      </c>
      <c r="C3" s="92" t="s">
        <v>985</v>
      </c>
      <c r="D3" s="92" t="s">
        <v>986</v>
      </c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>
      <c r="A4" s="92">
        <v>1.0</v>
      </c>
      <c r="B4" s="92" t="s">
        <v>987</v>
      </c>
      <c r="C4" s="92" t="s">
        <v>988</v>
      </c>
      <c r="D4" s="92" t="s">
        <v>989</v>
      </c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>
      <c r="A5" s="92">
        <v>2.0</v>
      </c>
      <c r="B5" s="92" t="s">
        <v>990</v>
      </c>
      <c r="C5" s="92" t="s">
        <v>991</v>
      </c>
      <c r="D5" s="92" t="s">
        <v>989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>
      <c r="A6" s="92">
        <v>3.0</v>
      </c>
      <c r="B6" s="92" t="s">
        <v>992</v>
      </c>
      <c r="C6" s="92" t="s">
        <v>991</v>
      </c>
      <c r="D6" s="92" t="s">
        <v>989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>
      <c r="A7" s="92">
        <v>4.0</v>
      </c>
      <c r="B7" s="92" t="s">
        <v>993</v>
      </c>
      <c r="C7" s="92" t="s">
        <v>994</v>
      </c>
      <c r="D7" s="92" t="s">
        <v>989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>
      <c r="A8" s="92">
        <v>5.0</v>
      </c>
      <c r="B8" s="92" t="s">
        <v>995</v>
      </c>
      <c r="C8" s="92" t="s">
        <v>996</v>
      </c>
      <c r="D8" s="92" t="s">
        <v>989</v>
      </c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>
      <c r="A9" s="92">
        <v>6.0</v>
      </c>
      <c r="B9" s="92" t="s">
        <v>997</v>
      </c>
      <c r="C9" s="92" t="s">
        <v>998</v>
      </c>
      <c r="D9" s="92" t="s">
        <v>989</v>
      </c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>
      <c r="A10" s="92">
        <v>7.0</v>
      </c>
      <c r="B10" s="93" t="s">
        <v>999</v>
      </c>
      <c r="C10" s="94"/>
      <c r="D10" s="92" t="s">
        <v>1000</v>
      </c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>
      <c r="A11" s="95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>
      <c r="A12" s="95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>
      <c r="A13" s="96" t="s">
        <v>1001</v>
      </c>
      <c r="C13" s="95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>
      <c r="A14" s="97"/>
      <c r="C14" s="95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>
      <c r="A15" s="98" t="s">
        <v>1002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>
      <c r="A16" s="97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>
      <c r="A17" s="96" t="s">
        <v>1003</v>
      </c>
      <c r="C17" s="95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</row>
    <row r="223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</row>
    <row r="224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</row>
    <row r="2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</row>
    <row r="226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</row>
    <row r="227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</row>
    <row r="228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</row>
    <row r="229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</row>
    <row r="230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</row>
    <row r="23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</row>
    <row r="232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</row>
    <row r="233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</row>
    <row r="234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</row>
    <row r="23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</row>
    <row r="236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</row>
    <row r="237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</row>
    <row r="238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</row>
    <row r="239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</row>
    <row r="240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</row>
    <row r="24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</row>
    <row r="24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</row>
    <row r="243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</row>
    <row r="244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</row>
    <row r="24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</row>
    <row r="246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</row>
    <row r="247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</row>
    <row r="248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</row>
    <row r="249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</row>
    <row r="250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</row>
    <row r="25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</row>
    <row r="252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</row>
    <row r="253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</row>
    <row r="254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</row>
    <row r="25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</row>
    <row r="256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</row>
    <row r="257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</row>
    <row r="258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</row>
    <row r="259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</row>
    <row r="260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</row>
    <row r="26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</row>
    <row r="26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</row>
    <row r="263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</row>
    <row r="264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</row>
    <row r="265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</row>
    <row r="266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</row>
    <row r="267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</row>
    <row r="268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</row>
    <row r="269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</row>
    <row r="270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</row>
    <row r="27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</row>
    <row r="272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</row>
    <row r="273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</row>
    <row r="274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</row>
    <row r="275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</row>
    <row r="276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</row>
    <row r="277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</row>
    <row r="278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</row>
    <row r="279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</row>
    <row r="280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</row>
    <row r="28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</row>
    <row r="28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</row>
    <row r="283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</row>
    <row r="284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</row>
    <row r="285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</row>
    <row r="286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</row>
    <row r="287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</row>
    <row r="288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</row>
    <row r="289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</row>
    <row r="290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</row>
    <row r="29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</row>
    <row r="292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</row>
    <row r="293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</row>
    <row r="294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</row>
    <row r="295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</row>
    <row r="296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</row>
    <row r="297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</row>
    <row r="298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</row>
    <row r="299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</row>
    <row r="300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</row>
    <row r="30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</row>
    <row r="302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</row>
    <row r="303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</row>
    <row r="304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</row>
    <row r="305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</row>
    <row r="306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</row>
    <row r="307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</row>
    <row r="308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</row>
    <row r="309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</row>
    <row r="310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</row>
    <row r="31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</row>
    <row r="312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</row>
    <row r="313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</row>
    <row r="314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</row>
    <row r="315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</row>
    <row r="316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</row>
    <row r="317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</row>
    <row r="318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</row>
    <row r="319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</row>
    <row r="320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</row>
    <row r="32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</row>
    <row r="32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</row>
    <row r="323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</row>
    <row r="324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</row>
    <row r="325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</row>
    <row r="326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</row>
    <row r="327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</row>
    <row r="328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</row>
    <row r="329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</row>
    <row r="330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</row>
    <row r="33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</row>
    <row r="33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</row>
    <row r="333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</row>
    <row r="334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</row>
    <row r="335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</row>
    <row r="336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</row>
    <row r="337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</row>
    <row r="338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</row>
    <row r="339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</row>
    <row r="340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</row>
    <row r="34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</row>
    <row r="342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</row>
    <row r="343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</row>
    <row r="344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</row>
    <row r="345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</row>
    <row r="346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</row>
    <row r="347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</row>
    <row r="348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</row>
    <row r="349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</row>
    <row r="350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</row>
    <row r="35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</row>
    <row r="35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</row>
    <row r="353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</row>
    <row r="354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</row>
    <row r="355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</row>
    <row r="356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</row>
    <row r="357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</row>
    <row r="358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</row>
    <row r="359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</row>
    <row r="360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</row>
    <row r="36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</row>
    <row r="362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</row>
    <row r="363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</row>
    <row r="364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</row>
    <row r="365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</row>
    <row r="366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</row>
    <row r="367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</row>
    <row r="368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</row>
    <row r="369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</row>
    <row r="370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</row>
    <row r="37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</row>
    <row r="372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</row>
    <row r="373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</row>
    <row r="374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</row>
    <row r="375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</row>
    <row r="376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</row>
    <row r="377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</row>
    <row r="378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</row>
    <row r="379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</row>
    <row r="380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</row>
    <row r="38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</row>
    <row r="38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</row>
    <row r="383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</row>
    <row r="384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</row>
    <row r="385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</row>
    <row r="386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</row>
    <row r="387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</row>
    <row r="388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</row>
    <row r="389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</row>
    <row r="390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</row>
    <row r="39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</row>
    <row r="392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</row>
    <row r="393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</row>
    <row r="394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</row>
    <row r="395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</row>
    <row r="396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</row>
    <row r="397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</row>
    <row r="398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</row>
    <row r="399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</row>
    <row r="400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</row>
    <row r="40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</row>
    <row r="402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</row>
    <row r="403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</row>
    <row r="404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</row>
    <row r="405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</row>
    <row r="406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</row>
    <row r="407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</row>
    <row r="408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</row>
    <row r="409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</row>
    <row r="410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</row>
    <row r="41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</row>
    <row r="412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</sheetData>
  <mergeCells count="2">
    <mergeCell ref="A1:D2"/>
    <mergeCell ref="B10:C10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